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 Yee Cheung\OneDrive\Documents\HKU\Courses\Yr3 sem1\CHEM4142\"/>
    </mc:Choice>
  </mc:AlternateContent>
  <xr:revisionPtr revIDLastSave="6060" documentId="8_{BA983D96-C05C-49BA-BAEC-AFEF4841E755}" xr6:coauthVersionLast="45" xr6:coauthVersionMax="45" xr10:uidLastSave="{7D57C6FF-2F75-491B-9E08-26CDC3DB4882}"/>
  <bookViews>
    <workbookView xWindow="-110" yWindow="-110" windowWidth="19420" windowHeight="10420" tabRatio="859" xr2:uid="{D5A44888-0495-4F69-ADF8-B25D701E4C52}"/>
  </bookViews>
  <sheets>
    <sheet name="Formulas" sheetId="49" r:id="rId1"/>
    <sheet name="C1" sheetId="1" r:id="rId2"/>
    <sheet name="Cs" sheetId="2" r:id="rId3"/>
    <sheet name="Ci" sheetId="3" r:id="rId4"/>
    <sheet name="C2" sheetId="4" r:id="rId5"/>
    <sheet name="C3" sheetId="5" r:id="rId6"/>
    <sheet name="C4" sheetId="6" r:id="rId7"/>
    <sheet name="C5" sheetId="7" r:id="rId8"/>
    <sheet name="C6" sheetId="8" r:id="rId9"/>
    <sheet name="C7" sheetId="9" r:id="rId10"/>
    <sheet name="C8" sheetId="10" r:id="rId11"/>
    <sheet name="D2" sheetId="11" r:id="rId12"/>
    <sheet name="D3" sheetId="12" r:id="rId13"/>
    <sheet name="D4" sheetId="13" r:id="rId14"/>
    <sheet name="D5" sheetId="14" r:id="rId15"/>
    <sheet name="D6" sheetId="15" r:id="rId16"/>
    <sheet name="C2v" sheetId="16" r:id="rId17"/>
    <sheet name="C3v" sheetId="17" r:id="rId18"/>
    <sheet name="C4v" sheetId="18" r:id="rId19"/>
    <sheet name="C5v" sheetId="19" r:id="rId20"/>
    <sheet name="C6v" sheetId="20" r:id="rId21"/>
    <sheet name="C2h" sheetId="21" r:id="rId22"/>
    <sheet name="C3h" sheetId="22" r:id="rId23"/>
    <sheet name="C4h" sheetId="23" r:id="rId24"/>
    <sheet name="C5h" sheetId="24" r:id="rId25"/>
    <sheet name="C6h" sheetId="25" r:id="rId26"/>
    <sheet name="D2h" sheetId="26" r:id="rId27"/>
    <sheet name="D3h" sheetId="27" r:id="rId28"/>
    <sheet name="D4h" sheetId="28" r:id="rId29"/>
    <sheet name="D5h" sheetId="29" r:id="rId30"/>
    <sheet name="D6h" sheetId="30" r:id="rId31"/>
    <sheet name="D8h" sheetId="31" r:id="rId32"/>
    <sheet name="D2d" sheetId="32" r:id="rId33"/>
    <sheet name="D3d" sheetId="33" r:id="rId34"/>
    <sheet name="D4d" sheetId="34" r:id="rId35"/>
    <sheet name="D5d" sheetId="35" r:id="rId36"/>
    <sheet name="D6d" sheetId="36" r:id="rId37"/>
    <sheet name="S4" sheetId="37" r:id="rId38"/>
    <sheet name="S6" sheetId="38" r:id="rId39"/>
    <sheet name="S8" sheetId="39" r:id="rId40"/>
    <sheet name="T" sheetId="40" r:id="rId41"/>
    <sheet name="Th" sheetId="41" r:id="rId42"/>
    <sheet name="Td" sheetId="42" r:id="rId43"/>
    <sheet name="O" sheetId="43" r:id="rId44"/>
    <sheet name="Oh" sheetId="44" r:id="rId45"/>
    <sheet name="I" sheetId="45" r:id="rId46"/>
    <sheet name="Ih" sheetId="46" r:id="rId47"/>
    <sheet name="Cinfv" sheetId="47" r:id="rId48"/>
    <sheet name="Dinfh" sheetId="48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" i="35" l="1"/>
  <c r="H9" i="35"/>
  <c r="H8" i="35"/>
  <c r="G9" i="35"/>
  <c r="D15" i="31"/>
  <c r="H9" i="29"/>
  <c r="G8" i="29"/>
  <c r="H8" i="29"/>
  <c r="G9" i="29"/>
  <c r="C9" i="29"/>
  <c r="F3" i="9"/>
  <c r="E3" i="9"/>
  <c r="D4" i="9"/>
  <c r="I9" i="46"/>
  <c r="H8" i="46"/>
  <c r="I8" i="46"/>
  <c r="H9" i="46"/>
  <c r="I4" i="46"/>
  <c r="H3" i="46"/>
  <c r="D3" i="46"/>
  <c r="D8" i="46"/>
  <c r="C9" i="46"/>
  <c r="C4" i="46"/>
  <c r="C8" i="46"/>
  <c r="D9" i="46"/>
  <c r="I3" i="46"/>
  <c r="H4" i="46"/>
  <c r="D4" i="46"/>
  <c r="C3" i="46"/>
  <c r="D4" i="45"/>
  <c r="D3" i="45"/>
  <c r="C4" i="45"/>
  <c r="C3" i="45"/>
  <c r="H6" i="41"/>
  <c r="G6" i="41"/>
  <c r="D6" i="41"/>
  <c r="C6" i="41"/>
  <c r="H3" i="41"/>
  <c r="G3" i="41"/>
  <c r="D3" i="41"/>
  <c r="C3" i="41"/>
  <c r="D3" i="40"/>
  <c r="C3" i="40"/>
  <c r="I6" i="39"/>
  <c r="G6" i="39"/>
  <c r="E6" i="39"/>
  <c r="C6" i="39"/>
  <c r="I4" i="39"/>
  <c r="G4" i="39"/>
  <c r="E4" i="39"/>
  <c r="C4" i="39"/>
  <c r="G5" i="38"/>
  <c r="F5" i="38"/>
  <c r="D5" i="38"/>
  <c r="C5" i="38"/>
  <c r="G3" i="38"/>
  <c r="F3" i="38"/>
  <c r="D3" i="38"/>
  <c r="C3" i="38"/>
  <c r="D8" i="35"/>
  <c r="C9" i="35"/>
  <c r="G5" i="35"/>
  <c r="H4" i="35"/>
  <c r="D4" i="35"/>
  <c r="C5" i="35"/>
  <c r="D9" i="35"/>
  <c r="H5" i="35"/>
  <c r="G4" i="35"/>
  <c r="C8" i="35"/>
  <c r="D5" i="35"/>
  <c r="C4" i="35"/>
  <c r="D9" i="29"/>
  <c r="H4" i="29"/>
  <c r="G5" i="29"/>
  <c r="D8" i="29"/>
  <c r="D4" i="29"/>
  <c r="H5" i="29"/>
  <c r="G4" i="29"/>
  <c r="D5" i="29"/>
  <c r="C8" i="29"/>
  <c r="C4" i="29"/>
  <c r="C5" i="29"/>
  <c r="C9" i="25"/>
  <c r="D9" i="25"/>
  <c r="D8" i="25"/>
  <c r="F9" i="25"/>
  <c r="F8" i="25"/>
  <c r="G9" i="25"/>
  <c r="I8" i="25"/>
  <c r="M8" i="25"/>
  <c r="M5" i="25"/>
  <c r="L5" i="25"/>
  <c r="J5" i="25"/>
  <c r="I5" i="25"/>
  <c r="G5" i="25"/>
  <c r="F5" i="25"/>
  <c r="D5" i="25"/>
  <c r="C5" i="25"/>
  <c r="L4" i="25"/>
  <c r="J4" i="25"/>
  <c r="F4" i="25"/>
  <c r="D4" i="25"/>
  <c r="I9" i="25"/>
  <c r="J9" i="25"/>
  <c r="M9" i="25"/>
  <c r="L9" i="25"/>
  <c r="L8" i="25"/>
  <c r="J8" i="25"/>
  <c r="G8" i="25"/>
  <c r="C8" i="25"/>
  <c r="M4" i="25"/>
  <c r="I4" i="25"/>
  <c r="G4" i="25"/>
  <c r="C4" i="25"/>
  <c r="K7" i="24"/>
  <c r="H7" i="24"/>
  <c r="J6" i="24"/>
  <c r="I6" i="24"/>
  <c r="K4" i="24"/>
  <c r="H4" i="24"/>
  <c r="I3" i="24"/>
  <c r="J3" i="24"/>
  <c r="C4" i="24"/>
  <c r="F4" i="24"/>
  <c r="F7" i="24"/>
  <c r="C7" i="24"/>
  <c r="E6" i="24"/>
  <c r="D6" i="24"/>
  <c r="E3" i="24"/>
  <c r="D3" i="24"/>
  <c r="E4" i="24"/>
  <c r="J4" i="24"/>
  <c r="I4" i="24"/>
  <c r="D4" i="24"/>
  <c r="J7" i="24"/>
  <c r="I7" i="24"/>
  <c r="E7" i="24"/>
  <c r="D7" i="24"/>
  <c r="F6" i="24"/>
  <c r="C6" i="24"/>
  <c r="H6" i="24"/>
  <c r="K6" i="24"/>
  <c r="K3" i="24"/>
  <c r="H3" i="24"/>
  <c r="F3" i="24"/>
  <c r="C3" i="24"/>
  <c r="G5" i="22"/>
  <c r="F5" i="22"/>
  <c r="D5" i="22"/>
  <c r="C5" i="22"/>
  <c r="G3" i="22"/>
  <c r="F3" i="22"/>
  <c r="D3" i="22"/>
  <c r="C3" i="22"/>
  <c r="D5" i="19"/>
  <c r="D4" i="19"/>
  <c r="C5" i="19"/>
  <c r="C4" i="19"/>
  <c r="D5" i="14"/>
  <c r="D4" i="14"/>
  <c r="C5" i="14"/>
  <c r="C4" i="14"/>
  <c r="I6" i="10"/>
  <c r="I4" i="10"/>
  <c r="G6" i="10"/>
  <c r="G4" i="10"/>
  <c r="E6" i="10"/>
  <c r="C6" i="10"/>
  <c r="C4" i="10"/>
  <c r="E4" i="10"/>
  <c r="C5" i="9"/>
  <c r="H5" i="9"/>
  <c r="G4" i="9"/>
  <c r="F5" i="9"/>
  <c r="C4" i="9"/>
  <c r="E5" i="9"/>
  <c r="H4" i="9"/>
  <c r="G3" i="9"/>
  <c r="D3" i="9"/>
  <c r="G5" i="9"/>
  <c r="D5" i="9"/>
  <c r="F4" i="9"/>
  <c r="E4" i="9"/>
  <c r="H3" i="9"/>
  <c r="C3" i="9"/>
  <c r="G5" i="8"/>
  <c r="F5" i="8"/>
  <c r="D5" i="8"/>
  <c r="C5" i="8"/>
  <c r="G4" i="8"/>
  <c r="C4" i="8"/>
  <c r="F4" i="8"/>
  <c r="D4" i="8"/>
  <c r="F4" i="7"/>
  <c r="C4" i="7"/>
  <c r="E4" i="7"/>
  <c r="D4" i="7"/>
  <c r="F3" i="7"/>
  <c r="C3" i="7"/>
  <c r="E3" i="7"/>
  <c r="D3" i="7"/>
  <c r="G10" i="36" l="1"/>
  <c r="G6" i="36"/>
  <c r="C10" i="36"/>
  <c r="C6" i="36"/>
  <c r="E8" i="34"/>
  <c r="E6" i="34"/>
  <c r="C8" i="34"/>
  <c r="C6" i="34"/>
  <c r="K13" i="31"/>
  <c r="J15" i="31"/>
  <c r="K15" i="31"/>
  <c r="J13" i="31"/>
  <c r="K8" i="31"/>
  <c r="J8" i="31"/>
  <c r="K6" i="31"/>
  <c r="J6" i="31"/>
  <c r="C15" i="31"/>
  <c r="D13" i="31"/>
  <c r="C13" i="31"/>
  <c r="C8" i="31"/>
  <c r="D8" i="31"/>
  <c r="D6" i="31"/>
  <c r="C6" i="31"/>
</calcChain>
</file>

<file path=xl/sharedStrings.xml><?xml version="1.0" encoding="utf-8"?>
<sst xmlns="http://schemas.openxmlformats.org/spreadsheetml/2006/main" count="1070" uniqueCount="289">
  <si>
    <t>E</t>
  </si>
  <si>
    <t>A</t>
  </si>
  <si>
    <t>A'</t>
  </si>
  <si>
    <t>A''</t>
  </si>
  <si>
    <t>linear, rotation</t>
  </si>
  <si>
    <t>quadratic</t>
  </si>
  <si>
    <t>x,y,Rz</t>
  </si>
  <si>
    <t>z,Rx,Ry</t>
  </si>
  <si>
    <t>x2,y2,z2,xy</t>
  </si>
  <si>
    <t>yz,xz</t>
  </si>
  <si>
    <t>i</t>
  </si>
  <si>
    <t>Ag</t>
  </si>
  <si>
    <t>Au</t>
  </si>
  <si>
    <t>Rx,Ry,Rz</t>
  </si>
  <si>
    <t>x2,y2,z2,xy,xz,yz</t>
  </si>
  <si>
    <t>C2</t>
  </si>
  <si>
    <t>B</t>
  </si>
  <si>
    <t>z,Rz</t>
  </si>
  <si>
    <t>x,y,Rx,Ry</t>
  </si>
  <si>
    <t>C3</t>
  </si>
  <si>
    <t>C3^2</t>
  </si>
  <si>
    <t>(x,y)(Rx,Ry)</t>
  </si>
  <si>
    <t>x2+y2,z2</t>
  </si>
  <si>
    <t>(x2-y2,xy)(yz,xz)</t>
  </si>
  <si>
    <t>C4</t>
  </si>
  <si>
    <t>C4^3</t>
  </si>
  <si>
    <t>x2-y2,xy</t>
  </si>
  <si>
    <t>(yz,xz)</t>
  </si>
  <si>
    <t>C5</t>
  </si>
  <si>
    <t>x2+y2, z2</t>
  </si>
  <si>
    <t>E1</t>
  </si>
  <si>
    <t>E2</t>
  </si>
  <si>
    <t>C5^2</t>
  </si>
  <si>
    <t>C5^3</t>
  </si>
  <si>
    <t>C5^4</t>
  </si>
  <si>
    <t>(x2-y2,xy)</t>
  </si>
  <si>
    <t>C6</t>
  </si>
  <si>
    <t>(xz,yz)</t>
  </si>
  <si>
    <t>C7</t>
  </si>
  <si>
    <t>E3</t>
  </si>
  <si>
    <t>C6^5</t>
  </si>
  <si>
    <t>C8</t>
  </si>
  <si>
    <t>C7^2</t>
  </si>
  <si>
    <t>C7^3</t>
  </si>
  <si>
    <t>C7^4</t>
  </si>
  <si>
    <t>C7^5</t>
  </si>
  <si>
    <t>C7^6</t>
  </si>
  <si>
    <t>C8^3</t>
  </si>
  <si>
    <t>C8^5</t>
  </si>
  <si>
    <t>C8^7</t>
  </si>
  <si>
    <t>exp(2pi/7)</t>
  </si>
  <si>
    <t>exp(2pi/3)</t>
  </si>
  <si>
    <t>exp(2pi/5)</t>
  </si>
  <si>
    <t>exp(2pi/6)</t>
  </si>
  <si>
    <t>exp(2pi/8)</t>
  </si>
  <si>
    <t>xy</t>
  </si>
  <si>
    <t>xz</t>
  </si>
  <si>
    <t>yz</t>
  </si>
  <si>
    <t>B1</t>
  </si>
  <si>
    <t>B2</t>
  </si>
  <si>
    <t>B3</t>
  </si>
  <si>
    <t>y,Ry</t>
  </si>
  <si>
    <t>x,Rx</t>
  </si>
  <si>
    <t>x2,y2,z2</t>
  </si>
  <si>
    <t>C2z</t>
  </si>
  <si>
    <t>C2y</t>
  </si>
  <si>
    <t>A1</t>
  </si>
  <si>
    <t>A2</t>
  </si>
  <si>
    <t>2C3z</t>
  </si>
  <si>
    <t>3C2'</t>
  </si>
  <si>
    <t>(x, y)(Rx, Ry)</t>
  </si>
  <si>
    <t>(x2-y2,xy)(xz,yz)</t>
  </si>
  <si>
    <t>x2-y2</t>
  </si>
  <si>
    <t>2C4z</t>
  </si>
  <si>
    <t>2C2'</t>
  </si>
  <si>
    <t>2C2''</t>
  </si>
  <si>
    <t>D5</t>
  </si>
  <si>
    <t>2(C5)2</t>
  </si>
  <si>
    <t>5C'2</t>
  </si>
  <si>
    <t>2C5z</t>
  </si>
  <si>
    <t>2C5^2</t>
  </si>
  <si>
    <t>5C2'</t>
  </si>
  <si>
    <t>2C6z</t>
  </si>
  <si>
    <t>3C2''</t>
  </si>
  <si>
    <t>z</t>
  </si>
  <si>
    <t>Rz</t>
  </si>
  <si>
    <t>vxz</t>
  </si>
  <si>
    <t>vyz</t>
  </si>
  <si>
    <t>x,Ry</t>
  </si>
  <si>
    <t>y,Rx</t>
  </si>
  <si>
    <t>3v</t>
  </si>
  <si>
    <t>(x, y)(Rx,Ry)</t>
  </si>
  <si>
    <t>2v</t>
  </si>
  <si>
    <t>2d</t>
  </si>
  <si>
    <t>5v</t>
  </si>
  <si>
    <t>h</t>
  </si>
  <si>
    <t>3d</t>
  </si>
  <si>
    <t>Bg</t>
  </si>
  <si>
    <t>Bu</t>
  </si>
  <si>
    <t>xz,yz</t>
  </si>
  <si>
    <t>Rx,Ry</t>
  </si>
  <si>
    <t>x,y</t>
  </si>
  <si>
    <t>S3</t>
  </si>
  <si>
    <t>E'</t>
  </si>
  <si>
    <t>E''</t>
  </si>
  <si>
    <t>C3z</t>
  </si>
  <si>
    <t>S3^5</t>
  </si>
  <si>
    <t>(x,y)</t>
  </si>
  <si>
    <t>(Rx,Ry)</t>
  </si>
  <si>
    <t>S4</t>
  </si>
  <si>
    <t>Eg</t>
  </si>
  <si>
    <t>Eu</t>
  </si>
  <si>
    <t>C4z</t>
  </si>
  <si>
    <t>S4^3</t>
  </si>
  <si>
    <t>S5</t>
  </si>
  <si>
    <t>E'1</t>
  </si>
  <si>
    <t>E'2</t>
  </si>
  <si>
    <t>E''1</t>
  </si>
  <si>
    <t>E''2</t>
  </si>
  <si>
    <t>S5^7</t>
  </si>
  <si>
    <t>S5^3</t>
  </si>
  <si>
    <t>S5^9</t>
  </si>
  <si>
    <t>S6</t>
  </si>
  <si>
    <t>E1g</t>
  </si>
  <si>
    <t>E2g</t>
  </si>
  <si>
    <t>E1u</t>
  </si>
  <si>
    <t>E2u</t>
  </si>
  <si>
    <t>C6z</t>
  </si>
  <si>
    <t>S6^5</t>
  </si>
  <si>
    <t>y</t>
  </si>
  <si>
    <t>x</t>
  </si>
  <si>
    <t>B1g</t>
  </si>
  <si>
    <t>B2g</t>
  </si>
  <si>
    <t>Ry</t>
  </si>
  <si>
    <t>B3g</t>
  </si>
  <si>
    <t>Rx</t>
  </si>
  <si>
    <t>B1u</t>
  </si>
  <si>
    <t>B2u</t>
  </si>
  <si>
    <t>B3u</t>
  </si>
  <si>
    <t>C2x</t>
  </si>
  <si>
    <t> xy</t>
  </si>
  <si>
    <t> xz</t>
  </si>
  <si>
    <t> yz</t>
  </si>
  <si>
    <t>2S3</t>
  </si>
  <si>
    <t>A'1</t>
  </si>
  <si>
    <t>A'2</t>
  </si>
  <si>
    <t>A''1</t>
  </si>
  <si>
    <t>A''2</t>
  </si>
  <si>
    <t>hxy</t>
  </si>
  <si>
    <t>2S4</t>
  </si>
  <si>
    <t>A1g</t>
  </si>
  <si>
    <t>A2g</t>
  </si>
  <si>
    <t>A1u</t>
  </si>
  <si>
    <t>A2u</t>
  </si>
  <si>
    <t>2C5</t>
  </si>
  <si>
    <t>2S5</t>
  </si>
  <si>
    <t>2(S5)3</t>
  </si>
  <si>
    <t>2C3</t>
  </si>
  <si>
    <t>2S6</t>
  </si>
  <si>
    <t>2C8</t>
  </si>
  <si>
    <t>2C4</t>
  </si>
  <si>
    <t>4C2'</t>
  </si>
  <si>
    <t>2S8</t>
  </si>
  <si>
    <t>4v</t>
  </si>
  <si>
    <t>4d</t>
  </si>
  <si>
    <t>E3g</t>
  </si>
  <si>
    <t>E3u</t>
  </si>
  <si>
    <t>2C8^3</t>
  </si>
  <si>
    <t>4C'2</t>
  </si>
  <si>
    <t>4C''2</t>
  </si>
  <si>
    <t>2S8^3</t>
  </si>
  <si>
    <t>T</t>
  </si>
  <si>
    <t>(x2-y2,xy) (xz, yz)</t>
  </si>
  <si>
    <t>2S10</t>
  </si>
  <si>
    <t>5d</t>
  </si>
  <si>
    <t>2S10^3</t>
  </si>
  <si>
    <t>2S12</t>
  </si>
  <si>
    <t>2C6</t>
  </si>
  <si>
    <t>6d</t>
  </si>
  <si>
    <t>E4</t>
  </si>
  <si>
    <t>E5</t>
  </si>
  <si>
    <t>2S12^5</t>
  </si>
  <si>
    <t>6C2'</t>
  </si>
  <si>
    <t>C32</t>
  </si>
  <si>
    <t>S8</t>
  </si>
  <si>
    <t>S83</t>
  </si>
  <si>
    <t>S85</t>
  </si>
  <si>
    <t>S8^7</t>
  </si>
  <si>
    <t>4C3</t>
  </si>
  <si>
    <t>3C2</t>
  </si>
  <si>
    <t>x2+y2+z2</t>
  </si>
  <si>
    <t>4C3^2</t>
  </si>
  <si>
    <t>(x2-y2,2z2-x2-y2)</t>
  </si>
  <si>
    <t>(x,y,z)(Rx,Ry,Rz)</t>
  </si>
  <si>
    <t>(xy,xz,yz)</t>
  </si>
  <si>
    <t>4S6</t>
  </si>
  <si>
    <t>3h</t>
  </si>
  <si>
    <t>Tg</t>
  </si>
  <si>
    <t>Tu</t>
  </si>
  <si>
    <t>4S6^5</t>
  </si>
  <si>
    <t>(Rx,Ry,Rz)</t>
  </si>
  <si>
    <t>(x,y,z)</t>
  </si>
  <si>
    <t>Td</t>
  </si>
  <si>
    <t>8C3</t>
  </si>
  <si>
    <t>6S4</t>
  </si>
  <si>
    <t>T1</t>
  </si>
  <si>
    <t>T2</t>
  </si>
  <si>
    <t>(2z2-x2-y2,x2-y2)</t>
  </si>
  <si>
    <t>O</t>
  </si>
  <si>
    <t>6C4</t>
  </si>
  <si>
    <t>3C2=C4^2</t>
  </si>
  <si>
    <t>Oh</t>
  </si>
  <si>
    <t>6C2</t>
  </si>
  <si>
    <t>8S6</t>
  </si>
  <si>
    <t>T1g</t>
  </si>
  <si>
    <t>T2g</t>
  </si>
  <si>
    <t>T1u</t>
  </si>
  <si>
    <t>T2u</t>
  </si>
  <si>
    <t>(xz,yz,xy)</t>
  </si>
  <si>
    <t>12C5</t>
  </si>
  <si>
    <t>20C3</t>
  </si>
  <si>
    <t>15C2</t>
  </si>
  <si>
    <t>G</t>
  </si>
  <si>
    <t>H</t>
  </si>
  <si>
    <t>12C5^2</t>
  </si>
  <si>
    <t>(2z2-x2-y2,x2-y2,xy,xz,yz)</t>
  </si>
  <si>
    <t>12S10</t>
  </si>
  <si>
    <t>20S6</t>
  </si>
  <si>
    <t>Gg</t>
  </si>
  <si>
    <t>Hg</t>
  </si>
  <si>
    <t>Gu</t>
  </si>
  <si>
    <t>Hu</t>
  </si>
  <si>
    <t>12S10^3</t>
  </si>
  <si>
    <t>C∞v</t>
  </si>
  <si>
    <t>2C∞</t>
  </si>
  <si>
    <t>...</t>
  </si>
  <si>
    <t>∞ σv</t>
  </si>
  <si>
    <t>A1=Σ+</t>
  </si>
  <si>
    <t>A2=Σ-</t>
  </si>
  <si>
    <t>E1=Π</t>
  </si>
  <si>
    <t>+2cos(φ)</t>
  </si>
  <si>
    <t>E2=Δ</t>
  </si>
  <si>
    <t>+2cos(2φ)</t>
  </si>
  <si>
    <t>E3=Φ</t>
  </si>
  <si>
    <t>+2cos(3φ)</t>
  </si>
  <si>
    <t>En</t>
  </si>
  <si>
    <t>+2cos(nφ)</t>
  </si>
  <si>
    <t>D∞h</t>
  </si>
  <si>
    <t>∞σv</t>
  </si>
  <si>
    <t>2S∞</t>
  </si>
  <si>
    <t>∞C'2</t>
  </si>
  <si>
    <t>A1g=Σ+g</t>
  </si>
  <si>
    <t>A2g=Σ-g</t>
  </si>
  <si>
    <t>E1g=Πg</t>
  </si>
  <si>
    <t>-2cos(φ)</t>
  </si>
  <si>
    <t>E2g=Δg</t>
  </si>
  <si>
    <t>E3g=Φg</t>
  </si>
  <si>
    <t>-2cos(3φ)</t>
  </si>
  <si>
    <t>Eng</t>
  </si>
  <si>
    <t>(-1)n2cos(nφ)</t>
  </si>
  <si>
    <t>A1u=Σ+u</t>
  </si>
  <si>
    <t>A2u=Σ-u</t>
  </si>
  <si>
    <t>E1u=Πu</t>
  </si>
  <si>
    <t>E2u=Δu</t>
  </si>
  <si>
    <t>-2cos(2φ)</t>
  </si>
  <si>
    <t>E3u=Φu</t>
  </si>
  <si>
    <t>2cos(3φ)</t>
  </si>
  <si>
    <t>Enu</t>
  </si>
  <si>
    <t>(-1)n+12cos(nφ)</t>
  </si>
  <si>
    <t>Gamma</t>
  </si>
  <si>
    <t>Instructions</t>
  </si>
  <si>
    <t>Step 2: Input the characters for the reducible representation and click "Reduce to irreducible representations"</t>
  </si>
  <si>
    <t>Irreducible representation</t>
  </si>
  <si>
    <t>Remarks:</t>
  </si>
  <si>
    <r>
      <t xml:space="preserve">Step 1: Input point group in </t>
    </r>
    <r>
      <rPr>
        <sz val="11"/>
        <color rgb="FFFF0000"/>
        <rFont val="Calibri"/>
        <family val="2"/>
        <scheme val="minor"/>
      </rPr>
      <t>cell A1</t>
    </r>
    <r>
      <rPr>
        <sz val="11"/>
        <color theme="1"/>
        <rFont val="Calibri"/>
        <family val="2"/>
        <scheme val="minor"/>
      </rPr>
      <t xml:space="preserve"> and click "Confirm Point Group"</t>
    </r>
  </si>
  <si>
    <t>Direct Product</t>
  </si>
  <si>
    <t>To reduce to irreducible representation (manual input of characters)</t>
  </si>
  <si>
    <t>To obtain direct product</t>
  </si>
  <si>
    <t>Step 3: As usual, click "Reduce to irreducible representations" to obtain the coefficient for each irreducible representation.</t>
  </si>
  <si>
    <t>If any error occurs, click "End", then check for wrong input, and input again.</t>
  </si>
  <si>
    <r>
      <t xml:space="preserve">Step 2: Input the irreducible representations to be taken direct product rightward starting from </t>
    </r>
    <r>
      <rPr>
        <sz val="11"/>
        <color rgb="FFFF0000"/>
        <rFont val="Calibri"/>
        <family val="2"/>
        <scheme val="minor"/>
      </rPr>
      <t>cell B3</t>
    </r>
    <r>
      <rPr>
        <sz val="11"/>
        <color theme="1"/>
        <rFont val="Calibri"/>
        <family val="2"/>
        <scheme val="minor"/>
      </rPr>
      <t>, DO NOT type "*" to indicate multiplication. Then, click "Direct Product", the characters for the reducible representation will be shown.</t>
    </r>
  </si>
  <si>
    <t>For any mistakes found, please contact Jasmine at jasminesyc@hku.hk</t>
  </si>
  <si>
    <t>This program DOES NOT work for Cinfv and Dinfh.</t>
  </si>
  <si>
    <t>How to type irreducible representations?</t>
  </si>
  <si>
    <t xml:space="preserve">Examples: </t>
  </si>
  <si>
    <t xml:space="preserve">Direct Product </t>
  </si>
  <si>
    <t>B''</t>
  </si>
  <si>
    <t>Note: The point groups should appear the same as the title of the worksheet.</t>
  </si>
  <si>
    <t>D6h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</si>
</sst>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</xdr:row>
          <xdr:rowOff>19050</xdr:rowOff>
        </xdr:from>
        <xdr:to>
          <xdr:col>7</xdr:col>
          <xdr:colOff>514350</xdr:colOff>
          <xdr:row>5</xdr:row>
          <xdr:rowOff>215900</xdr:rowOff>
        </xdr:to>
        <xdr:sp macro="" textlink="">
          <xdr:nvSpPr>
            <xdr:cNvPr id="50184" name="CommandButton1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0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247650</xdr:rowOff>
        </xdr:from>
        <xdr:to>
          <xdr:col>7</xdr:col>
          <xdr:colOff>514350</xdr:colOff>
          <xdr:row>7</xdr:row>
          <xdr:rowOff>139700</xdr:rowOff>
        </xdr:to>
        <xdr:sp macro="" textlink="">
          <xdr:nvSpPr>
            <xdr:cNvPr id="50186" name="CommandButton2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0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</xdr:row>
          <xdr:rowOff>0</xdr:rowOff>
        </xdr:from>
        <xdr:to>
          <xdr:col>7</xdr:col>
          <xdr:colOff>514350</xdr:colOff>
          <xdr:row>10</xdr:row>
          <xdr:rowOff>12700</xdr:rowOff>
        </xdr:to>
        <xdr:sp macro="" textlink="">
          <xdr:nvSpPr>
            <xdr:cNvPr id="50188" name="CommandButton3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0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asminesyc@hku.hk?subject=Error%20found%20in%20CHEM4142%20Excel%20Progra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BD733-B8E2-47B2-85DA-B511AC00353D}">
  <sheetPr codeName="Sheet1"/>
  <dimension ref="A1:N22"/>
  <sheetViews>
    <sheetView tabSelected="1" workbookViewId="0">
      <selection activeCell="M2" sqref="M2"/>
    </sheetView>
  </sheetViews>
  <sheetFormatPr defaultRowHeight="14.5" x14ac:dyDescent="0.35"/>
  <cols>
    <col min="1" max="1" width="22.90625" bestFit="1" customWidth="1"/>
    <col min="2" max="2" width="9.7265625" customWidth="1"/>
    <col min="9" max="9" width="65.81640625" bestFit="1" customWidth="1"/>
  </cols>
  <sheetData>
    <row r="1" spans="1:14" x14ac:dyDescent="0.35">
      <c r="A1" t="s">
        <v>288</v>
      </c>
      <c r="B1" t="s">
        <v>0</v>
      </c>
      <c r="C1" t="s">
        <v>82</v>
      </c>
      <c r="D1" t="s">
        <v>157</v>
      </c>
      <c r="E1" t="s">
        <v>15</v>
      </c>
      <c r="F1" t="s">
        <v>69</v>
      </c>
      <c r="G1" t="s">
        <v>83</v>
      </c>
      <c r="H1" t="s">
        <v>10</v>
      </c>
      <c r="I1" t="s">
        <v>143</v>
      </c>
      <c r="J1" t="s">
        <v>158</v>
      </c>
      <c r="K1" t="s">
        <v>148</v>
      </c>
      <c r="L1" t="s">
        <v>96</v>
      </c>
      <c r="M1" t="s">
        <v>90</v>
      </c>
    </row>
    <row r="2" spans="1:14" x14ac:dyDescent="0.35">
      <c r="A2" t="s">
        <v>269</v>
      </c>
      <c r="B2">
        <v>36</v>
      </c>
      <c r="C2">
        <v>0</v>
      </c>
      <c r="D2">
        <v>0</v>
      </c>
      <c r="E2">
        <v>0</v>
      </c>
      <c r="F2">
        <v>-4</v>
      </c>
      <c r="G2">
        <v>0</v>
      </c>
      <c r="H2">
        <v>0</v>
      </c>
      <c r="I2">
        <v>0</v>
      </c>
      <c r="J2">
        <v>0</v>
      </c>
      <c r="K2">
        <v>12</v>
      </c>
      <c r="L2">
        <v>0</v>
      </c>
      <c r="M2">
        <v>4</v>
      </c>
    </row>
    <row r="3" spans="1:14" x14ac:dyDescent="0.35">
      <c r="A3" t="s">
        <v>275</v>
      </c>
      <c r="B3" t="s">
        <v>206</v>
      </c>
      <c r="C3" t="s">
        <v>206</v>
      </c>
      <c r="I3" s="9" t="s">
        <v>270</v>
      </c>
    </row>
    <row r="4" spans="1:14" x14ac:dyDescent="0.35">
      <c r="A4" t="s">
        <v>272</v>
      </c>
      <c r="B4" s="3"/>
      <c r="I4" s="8" t="s">
        <v>276</v>
      </c>
    </row>
    <row r="5" spans="1:14" x14ac:dyDescent="0.35">
      <c r="A5" t="s">
        <v>150</v>
      </c>
      <c r="B5">
        <v>2</v>
      </c>
      <c r="I5" s="3" t="s">
        <v>274</v>
      </c>
    </row>
    <row r="6" spans="1:14" ht="29" x14ac:dyDescent="0.35">
      <c r="A6" t="s">
        <v>151</v>
      </c>
      <c r="B6">
        <v>2</v>
      </c>
      <c r="I6" s="3" t="s">
        <v>271</v>
      </c>
    </row>
    <row r="7" spans="1:14" x14ac:dyDescent="0.35">
      <c r="A7" t="s">
        <v>131</v>
      </c>
      <c r="B7">
        <v>0</v>
      </c>
      <c r="I7" t="s">
        <v>287</v>
      </c>
    </row>
    <row r="8" spans="1:14" x14ac:dyDescent="0.35">
      <c r="A8" t="s">
        <v>132</v>
      </c>
      <c r="B8">
        <v>2</v>
      </c>
    </row>
    <row r="9" spans="1:14" x14ac:dyDescent="0.35">
      <c r="A9" t="s">
        <v>123</v>
      </c>
      <c r="B9">
        <v>2</v>
      </c>
      <c r="I9" s="8" t="s">
        <v>277</v>
      </c>
    </row>
    <row r="10" spans="1:14" x14ac:dyDescent="0.35">
      <c r="A10" t="s">
        <v>124</v>
      </c>
      <c r="B10">
        <v>4</v>
      </c>
      <c r="I10" s="3" t="s">
        <v>274</v>
      </c>
    </row>
    <row r="11" spans="1:14" ht="58" x14ac:dyDescent="0.35">
      <c r="A11" t="s">
        <v>152</v>
      </c>
      <c r="B11">
        <v>0</v>
      </c>
      <c r="I11" s="3" t="s">
        <v>280</v>
      </c>
    </row>
    <row r="12" spans="1:14" ht="29" x14ac:dyDescent="0.35">
      <c r="A12" t="s">
        <v>153</v>
      </c>
      <c r="B12">
        <v>2</v>
      </c>
      <c r="I12" s="3" t="s">
        <v>278</v>
      </c>
    </row>
    <row r="13" spans="1:14" x14ac:dyDescent="0.35">
      <c r="A13" t="s">
        <v>136</v>
      </c>
      <c r="B13">
        <v>2</v>
      </c>
    </row>
    <row r="14" spans="1:14" x14ac:dyDescent="0.35">
      <c r="A14" t="s">
        <v>137</v>
      </c>
      <c r="B14">
        <v>2</v>
      </c>
      <c r="I14" s="3" t="s">
        <v>283</v>
      </c>
    </row>
    <row r="15" spans="1:14" x14ac:dyDescent="0.35">
      <c r="A15" t="s">
        <v>125</v>
      </c>
      <c r="B15">
        <v>4</v>
      </c>
      <c r="I15" s="3" t="s">
        <v>284</v>
      </c>
    </row>
    <row r="16" spans="1:14" x14ac:dyDescent="0.35">
      <c r="A16" t="s">
        <v>126</v>
      </c>
      <c r="B16">
        <v>2</v>
      </c>
      <c r="I16" s="3" t="s">
        <v>285</v>
      </c>
      <c r="J16" t="s">
        <v>2</v>
      </c>
      <c r="K16" t="s">
        <v>286</v>
      </c>
      <c r="L16" t="s">
        <v>110</v>
      </c>
      <c r="M16" t="s">
        <v>215</v>
      </c>
      <c r="N16" t="s">
        <v>125</v>
      </c>
    </row>
    <row r="19" spans="9:9" x14ac:dyDescent="0.35">
      <c r="I19" s="4" t="s">
        <v>273</v>
      </c>
    </row>
    <row r="20" spans="9:9" x14ac:dyDescent="0.35">
      <c r="I20" t="s">
        <v>279</v>
      </c>
    </row>
    <row r="21" spans="9:9" x14ac:dyDescent="0.35">
      <c r="I21" t="s">
        <v>282</v>
      </c>
    </row>
    <row r="22" spans="9:9" x14ac:dyDescent="0.35">
      <c r="I22" s="10" t="s">
        <v>281</v>
      </c>
    </row>
  </sheetData>
  <hyperlinks>
    <hyperlink ref="I22" r:id="rId1" xr:uid="{4F10AED2-C050-46C0-9E01-24EB37F79169}"/>
  </hyperlinks>
  <pageMargins left="0.7" right="0.7" top="0.75" bottom="0.75" header="0.3" footer="0.3"/>
  <pageSetup orientation="portrait" horizontalDpi="1200" verticalDpi="1200" r:id="rId2"/>
  <drawing r:id="rId3"/>
  <legacyDrawing r:id="rId4"/>
  <controls>
    <mc:AlternateContent xmlns:mc="http://schemas.openxmlformats.org/markup-compatibility/2006">
      <mc:Choice Requires="x14">
        <control shapeId="50188" r:id="rId5" name="CommandButton3">
          <controlPr defaultSize="0" autoLine="0" r:id="rId6">
            <anchor moveWithCells="1">
              <from>
                <xdr:col>5</xdr:col>
                <xdr:colOff>19050</xdr:colOff>
                <xdr:row>8</xdr:row>
                <xdr:rowOff>0</xdr:rowOff>
              </from>
              <to>
                <xdr:col>7</xdr:col>
                <xdr:colOff>514350</xdr:colOff>
                <xdr:row>10</xdr:row>
                <xdr:rowOff>12700</xdr:rowOff>
              </to>
            </anchor>
          </controlPr>
        </control>
      </mc:Choice>
      <mc:Fallback>
        <control shapeId="50188" r:id="rId5" name="CommandButton3"/>
      </mc:Fallback>
    </mc:AlternateContent>
    <mc:AlternateContent xmlns:mc="http://schemas.openxmlformats.org/markup-compatibility/2006">
      <mc:Choice Requires="x14">
        <control shapeId="50186" r:id="rId7" name="CommandButton2">
          <controlPr defaultSize="0" autoLine="0" r:id="rId8">
            <anchor moveWithCells="1">
              <from>
                <xdr:col>5</xdr:col>
                <xdr:colOff>19050</xdr:colOff>
                <xdr:row>5</xdr:row>
                <xdr:rowOff>247650</xdr:rowOff>
              </from>
              <to>
                <xdr:col>7</xdr:col>
                <xdr:colOff>514350</xdr:colOff>
                <xdr:row>7</xdr:row>
                <xdr:rowOff>139700</xdr:rowOff>
              </to>
            </anchor>
          </controlPr>
        </control>
      </mc:Choice>
      <mc:Fallback>
        <control shapeId="50186" r:id="rId7" name="CommandButton2"/>
      </mc:Fallback>
    </mc:AlternateContent>
    <mc:AlternateContent xmlns:mc="http://schemas.openxmlformats.org/markup-compatibility/2006">
      <mc:Choice Requires="x14">
        <control shapeId="50184" r:id="rId9" name="CommandButton1">
          <controlPr defaultSize="0" autoLine="0" r:id="rId10">
            <anchor moveWithCells="1">
              <from>
                <xdr:col>5</xdr:col>
                <xdr:colOff>19050</xdr:colOff>
                <xdr:row>4</xdr:row>
                <xdr:rowOff>19050</xdr:rowOff>
              </from>
              <to>
                <xdr:col>7</xdr:col>
                <xdr:colOff>514350</xdr:colOff>
                <xdr:row>5</xdr:row>
                <xdr:rowOff>215900</xdr:rowOff>
              </to>
            </anchor>
          </controlPr>
        </control>
      </mc:Choice>
      <mc:Fallback>
        <control shapeId="50184" r:id="rId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6F49D-20C7-4464-84D5-400C84854E71}">
  <sheetPr codeName="Sheet2"/>
  <dimension ref="A1:B2"/>
  <sheetViews>
    <sheetView workbookViewId="0">
      <selection sqref="A1:B2"/>
    </sheetView>
  </sheetViews>
  <sheetFormatPr defaultRowHeight="14.5" x14ac:dyDescent="0.35"/>
  <sheetData>
    <row r="1" spans="1:2" x14ac:dyDescent="0.35">
      <c r="B1" t="s">
        <v>0</v>
      </c>
    </row>
    <row r="2" spans="1:2" x14ac:dyDescent="0.35">
      <c r="A2" t="s">
        <v>1</v>
      </c>
      <c r="B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D0D89-CB57-4FA7-8BCB-3FA64169EB8A}">
  <sheetPr codeName="Sheet3"/>
  <dimension ref="A1:E3"/>
  <sheetViews>
    <sheetView workbookViewId="0">
      <selection activeCell="C1" sqref="C1"/>
    </sheetView>
  </sheetViews>
  <sheetFormatPr defaultRowHeight="14.5" x14ac:dyDescent="0.35"/>
  <cols>
    <col min="4" max="4" width="13.26953125" bestFit="1" customWidth="1"/>
  </cols>
  <sheetData>
    <row r="1" spans="1:5" x14ac:dyDescent="0.35">
      <c r="B1" t="s">
        <v>0</v>
      </c>
      <c r="C1" t="s">
        <v>95</v>
      </c>
      <c r="D1" t="s">
        <v>4</v>
      </c>
      <c r="E1" t="s">
        <v>5</v>
      </c>
    </row>
    <row r="2" spans="1:5" x14ac:dyDescent="0.35">
      <c r="A2" t="s">
        <v>2</v>
      </c>
      <c r="B2">
        <v>1</v>
      </c>
      <c r="C2">
        <v>1</v>
      </c>
      <c r="D2" t="s">
        <v>6</v>
      </c>
      <c r="E2" t="s">
        <v>8</v>
      </c>
    </row>
    <row r="3" spans="1:5" x14ac:dyDescent="0.35">
      <c r="A3" t="s">
        <v>3</v>
      </c>
      <c r="B3">
        <v>1</v>
      </c>
      <c r="C3">
        <v>-1</v>
      </c>
      <c r="D3" t="s">
        <v>7</v>
      </c>
      <c r="E3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100D8-5CC7-4F75-B59A-8A260CF743FA}">
  <sheetPr codeName="Sheet4"/>
  <dimension ref="A1:E3"/>
  <sheetViews>
    <sheetView workbookViewId="0">
      <selection activeCell="C8" sqref="C8"/>
    </sheetView>
  </sheetViews>
  <sheetFormatPr defaultRowHeight="14.5" x14ac:dyDescent="0.35"/>
  <sheetData>
    <row r="1" spans="1:5" x14ac:dyDescent="0.35">
      <c r="B1" t="s">
        <v>0</v>
      </c>
      <c r="C1" t="s">
        <v>10</v>
      </c>
      <c r="D1" t="s">
        <v>4</v>
      </c>
      <c r="E1" t="s">
        <v>5</v>
      </c>
    </row>
    <row r="2" spans="1:5" x14ac:dyDescent="0.35">
      <c r="A2" t="s">
        <v>11</v>
      </c>
      <c r="B2">
        <v>1</v>
      </c>
      <c r="C2">
        <v>1</v>
      </c>
      <c r="D2" t="s">
        <v>13</v>
      </c>
      <c r="E2" t="s">
        <v>14</v>
      </c>
    </row>
    <row r="3" spans="1:5" x14ac:dyDescent="0.35">
      <c r="A3" t="s">
        <v>12</v>
      </c>
      <c r="B3">
        <v>1</v>
      </c>
      <c r="C3">
        <v>-1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A4A6E-E11C-44CA-9B22-5EF454F21ABA}">
  <sheetPr codeName="Sheet5"/>
  <dimension ref="A1:E3"/>
  <sheetViews>
    <sheetView workbookViewId="0">
      <selection activeCell="D16" sqref="D16"/>
    </sheetView>
  </sheetViews>
  <sheetFormatPr defaultRowHeight="14.5" x14ac:dyDescent="0.35"/>
  <sheetData>
    <row r="1" spans="1:5" x14ac:dyDescent="0.35">
      <c r="B1" t="s">
        <v>0</v>
      </c>
      <c r="C1" t="s">
        <v>15</v>
      </c>
      <c r="D1" t="s">
        <v>4</v>
      </c>
      <c r="E1" t="s">
        <v>5</v>
      </c>
    </row>
    <row r="2" spans="1:5" x14ac:dyDescent="0.35">
      <c r="A2" t="s">
        <v>1</v>
      </c>
      <c r="B2">
        <v>1</v>
      </c>
      <c r="C2">
        <v>1</v>
      </c>
      <c r="D2" t="s">
        <v>17</v>
      </c>
      <c r="E2" t="s">
        <v>8</v>
      </c>
    </row>
    <row r="3" spans="1:5" x14ac:dyDescent="0.35">
      <c r="A3" t="s">
        <v>16</v>
      </c>
      <c r="B3">
        <v>1</v>
      </c>
      <c r="C3">
        <v>-1</v>
      </c>
      <c r="D3" t="s">
        <v>18</v>
      </c>
      <c r="E3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11352-85D2-41C8-8F67-21CBE9BC67EE}">
  <sheetPr codeName="Sheet6"/>
  <dimension ref="A1:G4"/>
  <sheetViews>
    <sheetView workbookViewId="0">
      <selection activeCell="D3" sqref="D3"/>
    </sheetView>
  </sheetViews>
  <sheetFormatPr defaultRowHeight="14.5" x14ac:dyDescent="0.35"/>
  <sheetData>
    <row r="1" spans="1:7" x14ac:dyDescent="0.35">
      <c r="B1" t="s">
        <v>0</v>
      </c>
      <c r="C1" t="s">
        <v>19</v>
      </c>
      <c r="D1" t="s">
        <v>20</v>
      </c>
      <c r="E1" t="s">
        <v>4</v>
      </c>
      <c r="F1" t="s">
        <v>5</v>
      </c>
      <c r="G1" t="s">
        <v>51</v>
      </c>
    </row>
    <row r="2" spans="1:7" x14ac:dyDescent="0.35">
      <c r="A2" t="s">
        <v>1</v>
      </c>
      <c r="B2">
        <v>1</v>
      </c>
      <c r="C2">
        <v>1</v>
      </c>
      <c r="D2">
        <v>1</v>
      </c>
      <c r="E2" t="s">
        <v>17</v>
      </c>
      <c r="F2" t="s">
        <v>22</v>
      </c>
    </row>
    <row r="3" spans="1:7" x14ac:dyDescent="0.35">
      <c r="A3" t="s">
        <v>0</v>
      </c>
      <c r="B3">
        <v>2</v>
      </c>
      <c r="C3" s="5">
        <v>-1</v>
      </c>
      <c r="D3" s="5">
        <v>-1</v>
      </c>
      <c r="E3" t="s">
        <v>21</v>
      </c>
      <c r="F3" t="s">
        <v>23</v>
      </c>
    </row>
    <row r="4" spans="1:7" x14ac:dyDescent="0.35">
      <c r="C4" s="5"/>
      <c r="D4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22F1-85B6-4DE7-8D20-9F89C9338E7F}">
  <sheetPr codeName="Sheet7"/>
  <dimension ref="A1:G5"/>
  <sheetViews>
    <sheetView workbookViewId="0">
      <selection activeCell="C3" sqref="C3"/>
    </sheetView>
  </sheetViews>
  <sheetFormatPr defaultRowHeight="14.5" x14ac:dyDescent="0.35"/>
  <sheetData>
    <row r="1" spans="1:7" x14ac:dyDescent="0.35">
      <c r="B1" t="s">
        <v>0</v>
      </c>
      <c r="C1" t="s">
        <v>24</v>
      </c>
      <c r="D1" t="s">
        <v>15</v>
      </c>
      <c r="E1" t="s">
        <v>25</v>
      </c>
      <c r="F1" t="s">
        <v>4</v>
      </c>
      <c r="G1" t="s">
        <v>5</v>
      </c>
    </row>
    <row r="2" spans="1:7" x14ac:dyDescent="0.35">
      <c r="A2" t="s">
        <v>1</v>
      </c>
      <c r="B2">
        <v>1</v>
      </c>
      <c r="C2">
        <v>1</v>
      </c>
      <c r="D2">
        <v>1</v>
      </c>
      <c r="E2">
        <v>1</v>
      </c>
      <c r="F2" t="s">
        <v>17</v>
      </c>
      <c r="G2" t="s">
        <v>22</v>
      </c>
    </row>
    <row r="3" spans="1:7" x14ac:dyDescent="0.35">
      <c r="A3" t="s">
        <v>16</v>
      </c>
      <c r="B3">
        <v>1</v>
      </c>
      <c r="C3">
        <v>-1</v>
      </c>
      <c r="D3">
        <v>1</v>
      </c>
      <c r="E3">
        <v>-1</v>
      </c>
      <c r="G3" t="s">
        <v>26</v>
      </c>
    </row>
    <row r="4" spans="1:7" x14ac:dyDescent="0.35">
      <c r="A4" t="s">
        <v>0</v>
      </c>
      <c r="B4">
        <v>2</v>
      </c>
      <c r="C4">
        <v>0</v>
      </c>
      <c r="D4">
        <v>-2</v>
      </c>
      <c r="E4" s="5">
        <v>0</v>
      </c>
      <c r="F4" t="s">
        <v>21</v>
      </c>
      <c r="G4" t="s">
        <v>27</v>
      </c>
    </row>
    <row r="5" spans="1:7" x14ac:dyDescent="0.35">
      <c r="C5" s="1"/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B1462-1705-43E6-89AA-12C05DBB1709}">
  <sheetPr codeName="Sheet8"/>
  <dimension ref="A1:H4"/>
  <sheetViews>
    <sheetView workbookViewId="0">
      <selection activeCell="I11" sqref="I11"/>
    </sheetView>
  </sheetViews>
  <sheetFormatPr defaultRowHeight="14.5" x14ac:dyDescent="0.35"/>
  <sheetData>
    <row r="1" spans="1:8" x14ac:dyDescent="0.35">
      <c r="A1" t="s">
        <v>52</v>
      </c>
      <c r="B1" t="s">
        <v>0</v>
      </c>
      <c r="C1" t="s">
        <v>28</v>
      </c>
      <c r="D1" t="s">
        <v>32</v>
      </c>
      <c r="E1" t="s">
        <v>33</v>
      </c>
      <c r="F1" t="s">
        <v>34</v>
      </c>
      <c r="G1" t="s">
        <v>4</v>
      </c>
      <c r="H1" t="s">
        <v>5</v>
      </c>
    </row>
    <row r="2" spans="1:8" x14ac:dyDescent="0.35">
      <c r="A2" t="s">
        <v>1</v>
      </c>
      <c r="B2">
        <v>1</v>
      </c>
      <c r="C2">
        <v>1</v>
      </c>
      <c r="D2">
        <v>1</v>
      </c>
      <c r="E2">
        <v>1</v>
      </c>
      <c r="F2">
        <v>1</v>
      </c>
      <c r="G2" t="s">
        <v>17</v>
      </c>
      <c r="H2" t="s">
        <v>22</v>
      </c>
    </row>
    <row r="3" spans="1:8" ht="31" customHeight="1" x14ac:dyDescent="0.35">
      <c r="A3" t="s">
        <v>30</v>
      </c>
      <c r="B3">
        <v>2</v>
      </c>
      <c r="C3">
        <f>2*COS(2*PI()/5)</f>
        <v>0.6180339887498949</v>
      </c>
      <c r="D3">
        <f>2*COS(4*PI()/5)</f>
        <v>-1.6180339887498947</v>
      </c>
      <c r="E3">
        <f>2*COS(4*PI()/5)</f>
        <v>-1.6180339887498947</v>
      </c>
      <c r="F3">
        <f>2*COS(2*PI()/5)</f>
        <v>0.6180339887498949</v>
      </c>
      <c r="G3" t="s">
        <v>21</v>
      </c>
      <c r="H3" t="s">
        <v>27</v>
      </c>
    </row>
    <row r="4" spans="1:8" x14ac:dyDescent="0.35">
      <c r="A4" t="s">
        <v>31</v>
      </c>
      <c r="B4">
        <v>2</v>
      </c>
      <c r="C4">
        <f>2*COS(4*PI()/5)</f>
        <v>-1.6180339887498947</v>
      </c>
      <c r="D4">
        <f>2*COS(2*PI()/5)</f>
        <v>0.6180339887498949</v>
      </c>
      <c r="E4">
        <f>2*COS(2*PI()/5)</f>
        <v>0.6180339887498949</v>
      </c>
      <c r="F4">
        <f>2*COS(4*PI()/5)</f>
        <v>-1.6180339887498947</v>
      </c>
      <c r="H4" t="s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DE71B-C71D-4E01-B469-AE34902C146F}">
  <sheetPr codeName="Sheet9"/>
  <dimension ref="A1:I6"/>
  <sheetViews>
    <sheetView workbookViewId="0">
      <selection activeCell="C5" sqref="C5"/>
    </sheetView>
  </sheetViews>
  <sheetFormatPr defaultRowHeight="14.5" x14ac:dyDescent="0.35"/>
  <sheetData>
    <row r="1" spans="1:9" x14ac:dyDescent="0.35">
      <c r="A1" t="s">
        <v>53</v>
      </c>
      <c r="B1" t="s">
        <v>0</v>
      </c>
      <c r="C1" t="s">
        <v>36</v>
      </c>
      <c r="D1" t="s">
        <v>19</v>
      </c>
      <c r="E1" t="s">
        <v>15</v>
      </c>
      <c r="F1" t="s">
        <v>20</v>
      </c>
      <c r="G1" t="s">
        <v>40</v>
      </c>
      <c r="H1" t="s">
        <v>4</v>
      </c>
      <c r="I1" t="s">
        <v>5</v>
      </c>
    </row>
    <row r="2" spans="1:9" x14ac:dyDescent="0.35">
      <c r="A2" t="s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 t="s">
        <v>17</v>
      </c>
      <c r="I2" t="s">
        <v>22</v>
      </c>
    </row>
    <row r="3" spans="1:9" x14ac:dyDescent="0.35">
      <c r="A3" t="s">
        <v>16</v>
      </c>
      <c r="B3">
        <v>1</v>
      </c>
      <c r="C3">
        <v>-1</v>
      </c>
      <c r="D3">
        <v>1</v>
      </c>
      <c r="E3">
        <v>-1</v>
      </c>
      <c r="F3">
        <v>1</v>
      </c>
      <c r="G3">
        <v>-1</v>
      </c>
    </row>
    <row r="4" spans="1:9" x14ac:dyDescent="0.35">
      <c r="A4" t="s">
        <v>30</v>
      </c>
      <c r="B4">
        <v>2</v>
      </c>
      <c r="C4">
        <f>2*COS(2*PI()/6)</f>
        <v>1.0000000000000002</v>
      </c>
      <c r="D4" s="7">
        <f>-2*COS(2*PI()/6)</f>
        <v>-1.0000000000000002</v>
      </c>
      <c r="E4">
        <v>-2</v>
      </c>
      <c r="F4" s="7">
        <f>-2*COS(2*PI()/6)</f>
        <v>-1.0000000000000002</v>
      </c>
      <c r="G4" s="7">
        <f>2*COS(2*PI()/6)</f>
        <v>1.0000000000000002</v>
      </c>
      <c r="H4" t="s">
        <v>21</v>
      </c>
      <c r="I4" t="s">
        <v>37</v>
      </c>
    </row>
    <row r="5" spans="1:9" x14ac:dyDescent="0.35">
      <c r="A5" t="s">
        <v>31</v>
      </c>
      <c r="B5">
        <v>2</v>
      </c>
      <c r="C5" s="5">
        <f>-2*COS(2*PI()/6)</f>
        <v>-1.0000000000000002</v>
      </c>
      <c r="D5" s="5">
        <f>-2*COS(2*PI()/6)</f>
        <v>-1.0000000000000002</v>
      </c>
      <c r="E5">
        <v>2</v>
      </c>
      <c r="F5" s="7">
        <f>-2*COS(2*PI()/6)</f>
        <v>-1.0000000000000002</v>
      </c>
      <c r="G5" s="7">
        <f>-2*COS(2*PI()/6)</f>
        <v>-1.0000000000000002</v>
      </c>
      <c r="I5" t="s">
        <v>35</v>
      </c>
    </row>
    <row r="6" spans="1:9" x14ac:dyDescent="0.35">
      <c r="C6" s="5"/>
      <c r="D6" s="5"/>
      <c r="F6" s="6"/>
      <c r="G6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0FD63-FA68-4234-8A69-264C522C13FF}">
  <sheetPr codeName="Sheet10"/>
  <dimension ref="A1:J6"/>
  <sheetViews>
    <sheetView workbookViewId="0">
      <selection activeCell="E6" sqref="E6"/>
    </sheetView>
  </sheetViews>
  <sheetFormatPr defaultRowHeight="14.5" x14ac:dyDescent="0.35"/>
  <sheetData>
    <row r="1" spans="1:10" x14ac:dyDescent="0.35">
      <c r="A1" t="s">
        <v>50</v>
      </c>
      <c r="B1" t="s">
        <v>0</v>
      </c>
      <c r="C1" t="s">
        <v>38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</v>
      </c>
      <c r="J1" t="s">
        <v>5</v>
      </c>
    </row>
    <row r="2" spans="1:10" x14ac:dyDescent="0.35">
      <c r="A2" t="s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 t="s">
        <v>17</v>
      </c>
      <c r="J2" t="s">
        <v>22</v>
      </c>
    </row>
    <row r="3" spans="1:10" x14ac:dyDescent="0.35">
      <c r="A3" t="s">
        <v>30</v>
      </c>
      <c r="B3">
        <v>2</v>
      </c>
      <c r="C3" s="5">
        <f>2*COS(2*PI()/7)</f>
        <v>1.2469796037174672</v>
      </c>
      <c r="D3" s="5">
        <f>2*COS(4*PI()/7)</f>
        <v>-0.44504186791262867</v>
      </c>
      <c r="E3" s="5">
        <f>2*COS(6*PI()/7)</f>
        <v>-1.8019377358048381</v>
      </c>
      <c r="F3" s="5">
        <f>2*COS(6*PI()/7)</f>
        <v>-1.8019377358048381</v>
      </c>
      <c r="G3" s="5">
        <f>2*COS(4*PI()/7)</f>
        <v>-0.44504186791262867</v>
      </c>
      <c r="H3" s="5">
        <f>2*COS(2*PI()/7)</f>
        <v>1.2469796037174672</v>
      </c>
      <c r="I3" s="1" t="s">
        <v>21</v>
      </c>
      <c r="J3" t="s">
        <v>37</v>
      </c>
    </row>
    <row r="4" spans="1:10" x14ac:dyDescent="0.35">
      <c r="A4" t="s">
        <v>31</v>
      </c>
      <c r="B4">
        <v>2</v>
      </c>
      <c r="C4" s="5">
        <f>2*COS(4*PI()/7)</f>
        <v>-0.44504186791262867</v>
      </c>
      <c r="D4" s="5">
        <f>2*COS(6*PI()/7)</f>
        <v>-1.8019377358048381</v>
      </c>
      <c r="E4" s="5">
        <f>2*COS(2*PI()/7)</f>
        <v>1.2469796037174672</v>
      </c>
      <c r="F4" s="5">
        <f>2*COS(2*PI()/7)</f>
        <v>1.2469796037174672</v>
      </c>
      <c r="G4" s="5">
        <f>2*COS(6*PI()/7)</f>
        <v>-1.8019377358048381</v>
      </c>
      <c r="H4" s="5">
        <f>2*COS(4*PI()/7)</f>
        <v>-0.44504186791262867</v>
      </c>
      <c r="J4" t="s">
        <v>35</v>
      </c>
    </row>
    <row r="5" spans="1:10" x14ac:dyDescent="0.35">
      <c r="A5" t="s">
        <v>39</v>
      </c>
      <c r="B5">
        <v>2</v>
      </c>
      <c r="C5" s="5">
        <f>2*COS(6*PI()/7)</f>
        <v>-1.8019377358048381</v>
      </c>
      <c r="D5" s="5">
        <f>2*COS(2*PI()/7)</f>
        <v>1.2469796037174672</v>
      </c>
      <c r="E5" s="5">
        <f>2*COS(4*PI()/7)</f>
        <v>-0.44504186791262867</v>
      </c>
      <c r="F5" s="5">
        <f>2*COS(4*PI()/7)</f>
        <v>-0.44504186791262867</v>
      </c>
      <c r="G5" s="5">
        <f>2*COS(2*PI()/7)</f>
        <v>1.2469796037174672</v>
      </c>
      <c r="H5" s="5">
        <f>2*COS(6*PI()/7)</f>
        <v>-1.8019377358048381</v>
      </c>
    </row>
    <row r="6" spans="1:10" x14ac:dyDescent="0.35">
      <c r="C6" s="5"/>
      <c r="D6" s="5"/>
      <c r="E6" s="5"/>
      <c r="F6" s="5"/>
      <c r="G6" s="5"/>
      <c r="H6" s="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70A9F-5AA7-49E7-9162-B1E2AE1D5B86}">
  <sheetPr codeName="Sheet11"/>
  <dimension ref="A1:K7"/>
  <sheetViews>
    <sheetView workbookViewId="0">
      <selection activeCell="C4" sqref="C4"/>
    </sheetView>
  </sheetViews>
  <sheetFormatPr defaultRowHeight="14.5" x14ac:dyDescent="0.35"/>
  <sheetData>
    <row r="1" spans="1:11" x14ac:dyDescent="0.35">
      <c r="A1" t="s">
        <v>54</v>
      </c>
      <c r="B1" t="s">
        <v>0</v>
      </c>
      <c r="C1" t="s">
        <v>41</v>
      </c>
      <c r="D1" t="s">
        <v>24</v>
      </c>
      <c r="E1" t="s">
        <v>47</v>
      </c>
      <c r="F1" t="s">
        <v>15</v>
      </c>
      <c r="G1" t="s">
        <v>48</v>
      </c>
      <c r="H1" t="s">
        <v>25</v>
      </c>
      <c r="I1" t="s">
        <v>49</v>
      </c>
      <c r="J1" t="s">
        <v>4</v>
      </c>
      <c r="K1" t="s">
        <v>5</v>
      </c>
    </row>
    <row r="2" spans="1:11" x14ac:dyDescent="0.35">
      <c r="A2" t="s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 t="s">
        <v>17</v>
      </c>
      <c r="K2" t="s">
        <v>22</v>
      </c>
    </row>
    <row r="3" spans="1:11" x14ac:dyDescent="0.35">
      <c r="A3" t="s">
        <v>16</v>
      </c>
      <c r="B3">
        <v>1</v>
      </c>
      <c r="C3">
        <v>-1</v>
      </c>
      <c r="D3">
        <v>1</v>
      </c>
      <c r="E3">
        <v>-1</v>
      </c>
      <c r="F3">
        <v>1</v>
      </c>
      <c r="G3">
        <v>-1</v>
      </c>
      <c r="H3">
        <v>1</v>
      </c>
      <c r="I3">
        <v>-1</v>
      </c>
    </row>
    <row r="4" spans="1:11" x14ac:dyDescent="0.35">
      <c r="A4" t="s">
        <v>30</v>
      </c>
      <c r="B4">
        <v>2</v>
      </c>
      <c r="C4" s="5">
        <f>2*COS(2*PI()/8)</f>
        <v>1.4142135623730951</v>
      </c>
      <c r="D4" s="5">
        <v>0</v>
      </c>
      <c r="E4" s="5">
        <f>-2*COS(2*PI()/8)</f>
        <v>-1.4142135623730951</v>
      </c>
      <c r="F4" s="5">
        <v>-2</v>
      </c>
      <c r="G4" s="5">
        <f>-2*COS(2*PI()/8)</f>
        <v>-1.4142135623730951</v>
      </c>
      <c r="H4" s="5">
        <v>0</v>
      </c>
      <c r="I4" s="5">
        <f>2*COS(2*PI()/8)</f>
        <v>1.4142135623730951</v>
      </c>
      <c r="J4" t="s">
        <v>21</v>
      </c>
      <c r="K4" t="s">
        <v>37</v>
      </c>
    </row>
    <row r="5" spans="1:11" x14ac:dyDescent="0.35">
      <c r="A5" t="s">
        <v>31</v>
      </c>
      <c r="B5">
        <v>2</v>
      </c>
      <c r="C5" s="5">
        <v>0</v>
      </c>
      <c r="D5" s="5">
        <v>-2</v>
      </c>
      <c r="E5" s="5">
        <v>0</v>
      </c>
      <c r="F5" s="5">
        <v>2</v>
      </c>
      <c r="G5" s="5">
        <v>0</v>
      </c>
      <c r="H5" s="5">
        <v>-2</v>
      </c>
      <c r="I5" s="5">
        <v>0</v>
      </c>
      <c r="K5" t="s">
        <v>35</v>
      </c>
    </row>
    <row r="6" spans="1:11" x14ac:dyDescent="0.35">
      <c r="A6" t="s">
        <v>39</v>
      </c>
      <c r="B6">
        <v>2</v>
      </c>
      <c r="C6" s="5">
        <f>-2*COS(2*PI()/8)</f>
        <v>-1.4142135623730951</v>
      </c>
      <c r="D6" s="5">
        <v>0</v>
      </c>
      <c r="E6" s="5">
        <f>2*COS(2*PI()/8)</f>
        <v>1.4142135623730951</v>
      </c>
      <c r="F6" s="5">
        <v>-2</v>
      </c>
      <c r="G6" s="5">
        <f>2*COS(2*PI()/8)</f>
        <v>1.4142135623730951</v>
      </c>
      <c r="H6" s="5">
        <v>0</v>
      </c>
      <c r="I6" s="5">
        <f>-2*COS(2*PI()/8)</f>
        <v>-1.4142135623730951</v>
      </c>
    </row>
    <row r="7" spans="1:11" x14ac:dyDescent="0.35">
      <c r="C7" s="5"/>
      <c r="D7" s="5"/>
      <c r="E7" s="5"/>
      <c r="F7" s="5"/>
      <c r="G7" s="5"/>
      <c r="H7" s="5"/>
      <c r="I7" s="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06A8F-212C-43D0-9395-B830E2AFFB51}">
  <sheetPr codeName="Sheet12"/>
  <dimension ref="A1:G5"/>
  <sheetViews>
    <sheetView workbookViewId="0">
      <selection activeCell="E17" sqref="E17"/>
    </sheetView>
  </sheetViews>
  <sheetFormatPr defaultRowHeight="14.5" x14ac:dyDescent="0.35"/>
  <sheetData>
    <row r="1" spans="1:7" x14ac:dyDescent="0.35">
      <c r="B1" t="s">
        <v>0</v>
      </c>
      <c r="C1" t="s">
        <v>64</v>
      </c>
      <c r="D1" t="s">
        <v>65</v>
      </c>
      <c r="E1" t="s">
        <v>64</v>
      </c>
      <c r="F1" t="s">
        <v>4</v>
      </c>
      <c r="G1" t="s">
        <v>5</v>
      </c>
    </row>
    <row r="2" spans="1:7" x14ac:dyDescent="0.35">
      <c r="A2" t="s">
        <v>1</v>
      </c>
      <c r="B2">
        <v>1</v>
      </c>
      <c r="C2">
        <v>1</v>
      </c>
      <c r="D2">
        <v>1</v>
      </c>
      <c r="E2">
        <v>1</v>
      </c>
      <c r="G2" t="s">
        <v>63</v>
      </c>
    </row>
    <row r="3" spans="1:7" x14ac:dyDescent="0.35">
      <c r="A3" t="s">
        <v>58</v>
      </c>
      <c r="B3">
        <v>1</v>
      </c>
      <c r="C3">
        <v>1</v>
      </c>
      <c r="D3">
        <v>-1</v>
      </c>
      <c r="E3">
        <v>-1</v>
      </c>
      <c r="F3" t="s">
        <v>17</v>
      </c>
      <c r="G3" t="s">
        <v>55</v>
      </c>
    </row>
    <row r="4" spans="1:7" x14ac:dyDescent="0.35">
      <c r="A4" t="s">
        <v>59</v>
      </c>
      <c r="B4">
        <v>1</v>
      </c>
      <c r="C4">
        <v>-1</v>
      </c>
      <c r="D4">
        <v>1</v>
      </c>
      <c r="E4">
        <v>-1</v>
      </c>
      <c r="F4" t="s">
        <v>61</v>
      </c>
      <c r="G4" t="s">
        <v>56</v>
      </c>
    </row>
    <row r="5" spans="1:7" x14ac:dyDescent="0.35">
      <c r="A5" t="s">
        <v>60</v>
      </c>
      <c r="B5">
        <v>1</v>
      </c>
      <c r="C5">
        <v>-1</v>
      </c>
      <c r="D5">
        <v>-1</v>
      </c>
      <c r="E5">
        <v>1</v>
      </c>
      <c r="F5" t="s">
        <v>62</v>
      </c>
      <c r="G5" t="s">
        <v>57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B8192-F550-4BFA-BC78-1266303ABC3B}">
  <sheetPr codeName="Sheet13"/>
  <dimension ref="A1:F4"/>
  <sheetViews>
    <sheetView workbookViewId="0">
      <selection activeCell="F5" sqref="F5"/>
    </sheetView>
  </sheetViews>
  <sheetFormatPr defaultRowHeight="14.5" x14ac:dyDescent="0.35"/>
  <sheetData>
    <row r="1" spans="1:6" x14ac:dyDescent="0.35">
      <c r="B1" t="s">
        <v>0</v>
      </c>
      <c r="C1" t="s">
        <v>68</v>
      </c>
      <c r="D1" t="s">
        <v>69</v>
      </c>
      <c r="E1" t="s">
        <v>4</v>
      </c>
      <c r="F1" t="s">
        <v>5</v>
      </c>
    </row>
    <row r="2" spans="1:6" x14ac:dyDescent="0.35">
      <c r="A2" t="s">
        <v>66</v>
      </c>
      <c r="B2">
        <v>1</v>
      </c>
      <c r="C2">
        <v>1</v>
      </c>
      <c r="D2">
        <v>1</v>
      </c>
      <c r="F2" t="s">
        <v>22</v>
      </c>
    </row>
    <row r="3" spans="1:6" x14ac:dyDescent="0.35">
      <c r="A3" t="s">
        <v>67</v>
      </c>
      <c r="B3">
        <v>1</v>
      </c>
      <c r="C3">
        <v>1</v>
      </c>
      <c r="D3">
        <v>-1</v>
      </c>
      <c r="E3" t="s">
        <v>17</v>
      </c>
    </row>
    <row r="4" spans="1:6" x14ac:dyDescent="0.35">
      <c r="A4" t="s">
        <v>0</v>
      </c>
      <c r="B4">
        <v>2</v>
      </c>
      <c r="C4">
        <v>-1</v>
      </c>
      <c r="D4">
        <v>0</v>
      </c>
      <c r="E4" t="s">
        <v>70</v>
      </c>
      <c r="F4" t="s">
        <v>71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005B7-77EC-4E15-BA5A-D7AF7DCA0A48}">
  <sheetPr codeName="Sheet14"/>
  <dimension ref="A1:H6"/>
  <sheetViews>
    <sheetView workbookViewId="0">
      <selection activeCell="G7" sqref="G7"/>
    </sheetView>
  </sheetViews>
  <sheetFormatPr defaultRowHeight="14.5" x14ac:dyDescent="0.35"/>
  <sheetData>
    <row r="1" spans="1:8" x14ac:dyDescent="0.35">
      <c r="B1" t="s">
        <v>0</v>
      </c>
      <c r="C1" t="s">
        <v>73</v>
      </c>
      <c r="D1" t="s">
        <v>64</v>
      </c>
      <c r="E1" t="s">
        <v>74</v>
      </c>
      <c r="F1" t="s">
        <v>75</v>
      </c>
      <c r="G1" t="s">
        <v>4</v>
      </c>
      <c r="H1" t="s">
        <v>5</v>
      </c>
    </row>
    <row r="2" spans="1:8" x14ac:dyDescent="0.35">
      <c r="A2" t="s">
        <v>66</v>
      </c>
      <c r="B2">
        <v>1</v>
      </c>
      <c r="C2">
        <v>1</v>
      </c>
      <c r="D2">
        <v>1</v>
      </c>
      <c r="E2">
        <v>1</v>
      </c>
      <c r="F2">
        <v>1</v>
      </c>
      <c r="H2" t="s">
        <v>22</v>
      </c>
    </row>
    <row r="3" spans="1:8" x14ac:dyDescent="0.35">
      <c r="A3" t="s">
        <v>67</v>
      </c>
      <c r="B3">
        <v>1</v>
      </c>
      <c r="C3">
        <v>1</v>
      </c>
      <c r="D3">
        <v>1</v>
      </c>
      <c r="E3">
        <v>-1</v>
      </c>
      <c r="F3">
        <v>-1</v>
      </c>
      <c r="G3" t="s">
        <v>17</v>
      </c>
    </row>
    <row r="4" spans="1:8" x14ac:dyDescent="0.35">
      <c r="A4" t="s">
        <v>58</v>
      </c>
      <c r="B4">
        <v>1</v>
      </c>
      <c r="C4">
        <v>-1</v>
      </c>
      <c r="D4">
        <v>1</v>
      </c>
      <c r="E4">
        <v>1</v>
      </c>
      <c r="F4">
        <v>-1</v>
      </c>
      <c r="H4" t="s">
        <v>72</v>
      </c>
    </row>
    <row r="5" spans="1:8" x14ac:dyDescent="0.35">
      <c r="A5" t="s">
        <v>59</v>
      </c>
      <c r="B5">
        <v>1</v>
      </c>
      <c r="C5">
        <v>-1</v>
      </c>
      <c r="D5">
        <v>1</v>
      </c>
      <c r="E5">
        <v>-1</v>
      </c>
      <c r="F5">
        <v>1</v>
      </c>
      <c r="H5" t="s">
        <v>55</v>
      </c>
    </row>
    <row r="6" spans="1:8" x14ac:dyDescent="0.35">
      <c r="A6" t="s">
        <v>0</v>
      </c>
      <c r="B6">
        <v>2</v>
      </c>
      <c r="C6">
        <v>0</v>
      </c>
      <c r="D6">
        <v>-2</v>
      </c>
      <c r="E6">
        <v>0</v>
      </c>
      <c r="F6">
        <v>0</v>
      </c>
      <c r="G6" t="s">
        <v>21</v>
      </c>
      <c r="H6" t="s">
        <v>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875BD-ED08-499E-9DEA-87C8D5C06A9A}">
  <sheetPr codeName="Sheet15"/>
  <dimension ref="A1:G6"/>
  <sheetViews>
    <sheetView workbookViewId="0">
      <selection activeCell="C5" sqref="C5"/>
    </sheetView>
  </sheetViews>
  <sheetFormatPr defaultRowHeight="14.5" x14ac:dyDescent="0.35"/>
  <sheetData>
    <row r="1" spans="1:7" x14ac:dyDescent="0.35">
      <c r="A1" t="s">
        <v>76</v>
      </c>
      <c r="B1" t="s">
        <v>0</v>
      </c>
      <c r="C1" t="s">
        <v>79</v>
      </c>
      <c r="D1" t="s">
        <v>80</v>
      </c>
      <c r="E1" t="s">
        <v>81</v>
      </c>
      <c r="F1" t="s">
        <v>4</v>
      </c>
      <c r="G1" t="s">
        <v>5</v>
      </c>
    </row>
    <row r="2" spans="1:7" x14ac:dyDescent="0.35">
      <c r="A2" s="2" t="s">
        <v>66</v>
      </c>
      <c r="B2">
        <v>1</v>
      </c>
      <c r="C2">
        <v>1</v>
      </c>
      <c r="D2">
        <v>1</v>
      </c>
      <c r="E2">
        <v>1</v>
      </c>
      <c r="G2" t="s">
        <v>22</v>
      </c>
    </row>
    <row r="3" spans="1:7" x14ac:dyDescent="0.35">
      <c r="A3" s="2" t="s">
        <v>67</v>
      </c>
      <c r="B3">
        <v>1</v>
      </c>
      <c r="C3">
        <v>1</v>
      </c>
      <c r="D3">
        <v>1</v>
      </c>
      <c r="E3">
        <v>-1</v>
      </c>
      <c r="F3" t="s">
        <v>17</v>
      </c>
    </row>
    <row r="4" spans="1:7" x14ac:dyDescent="0.35">
      <c r="A4" s="2" t="s">
        <v>30</v>
      </c>
      <c r="B4">
        <v>2</v>
      </c>
      <c r="C4">
        <f>2*COS(2*PI()/5)</f>
        <v>0.6180339887498949</v>
      </c>
      <c r="D4">
        <f>2*COS(4*PI()/5)</f>
        <v>-1.6180339887498947</v>
      </c>
      <c r="E4">
        <v>0</v>
      </c>
      <c r="F4" t="s">
        <v>21</v>
      </c>
      <c r="G4" t="s">
        <v>37</v>
      </c>
    </row>
    <row r="5" spans="1:7" x14ac:dyDescent="0.35">
      <c r="A5" s="2" t="s">
        <v>31</v>
      </c>
      <c r="B5">
        <v>2</v>
      </c>
      <c r="C5">
        <f>2*COS(4*PI()/5)</f>
        <v>-1.6180339887498947</v>
      </c>
      <c r="D5">
        <f>2*COS(2*PI()/5)</f>
        <v>0.6180339887498949</v>
      </c>
      <c r="E5">
        <v>0</v>
      </c>
      <c r="G5" t="s">
        <v>35</v>
      </c>
    </row>
    <row r="6" spans="1:7" x14ac:dyDescent="0.35">
      <c r="A6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03701-AEB5-46F7-8A42-1B11405A67C1}">
  <sheetPr codeName="Sheet16"/>
  <dimension ref="A1:I7"/>
  <sheetViews>
    <sheetView workbookViewId="0">
      <selection activeCell="D9" sqref="D9"/>
    </sheetView>
  </sheetViews>
  <sheetFormatPr defaultRowHeight="14.5" x14ac:dyDescent="0.35"/>
  <sheetData>
    <row r="1" spans="1:9" x14ac:dyDescent="0.35">
      <c r="B1" t="s">
        <v>0</v>
      </c>
      <c r="C1" t="s">
        <v>82</v>
      </c>
      <c r="D1" t="s">
        <v>68</v>
      </c>
      <c r="E1" t="s">
        <v>64</v>
      </c>
      <c r="F1" t="s">
        <v>69</v>
      </c>
      <c r="G1" t="s">
        <v>83</v>
      </c>
      <c r="H1" t="s">
        <v>4</v>
      </c>
      <c r="I1" t="s">
        <v>5</v>
      </c>
    </row>
    <row r="2" spans="1:9" x14ac:dyDescent="0.35">
      <c r="A2" t="s">
        <v>66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I2" t="s">
        <v>22</v>
      </c>
    </row>
    <row r="3" spans="1:9" x14ac:dyDescent="0.35">
      <c r="A3" t="s">
        <v>67</v>
      </c>
      <c r="B3">
        <v>1</v>
      </c>
      <c r="C3">
        <v>1</v>
      </c>
      <c r="D3">
        <v>1</v>
      </c>
      <c r="E3">
        <v>1</v>
      </c>
      <c r="F3">
        <v>-1</v>
      </c>
      <c r="G3">
        <v>-1</v>
      </c>
      <c r="H3" t="s">
        <v>17</v>
      </c>
    </row>
    <row r="4" spans="1:9" x14ac:dyDescent="0.35">
      <c r="A4" t="s">
        <v>58</v>
      </c>
      <c r="B4">
        <v>1</v>
      </c>
      <c r="C4">
        <v>-1</v>
      </c>
      <c r="D4">
        <v>1</v>
      </c>
      <c r="E4">
        <v>-1</v>
      </c>
      <c r="F4">
        <v>1</v>
      </c>
      <c r="G4">
        <v>-1</v>
      </c>
    </row>
    <row r="5" spans="1:9" x14ac:dyDescent="0.35">
      <c r="A5" t="s">
        <v>59</v>
      </c>
      <c r="B5">
        <v>1</v>
      </c>
      <c r="C5">
        <v>-1</v>
      </c>
      <c r="D5">
        <v>1</v>
      </c>
      <c r="E5">
        <v>-1</v>
      </c>
      <c r="F5">
        <v>-1</v>
      </c>
      <c r="G5">
        <v>1</v>
      </c>
    </row>
    <row r="6" spans="1:9" x14ac:dyDescent="0.35">
      <c r="A6" t="s">
        <v>30</v>
      </c>
      <c r="B6">
        <v>2</v>
      </c>
      <c r="C6">
        <v>1</v>
      </c>
      <c r="D6">
        <v>-1</v>
      </c>
      <c r="E6">
        <v>-2</v>
      </c>
      <c r="F6">
        <v>0</v>
      </c>
      <c r="G6">
        <v>0</v>
      </c>
      <c r="H6" t="s">
        <v>21</v>
      </c>
      <c r="I6" t="s">
        <v>37</v>
      </c>
    </row>
    <row r="7" spans="1:9" x14ac:dyDescent="0.35">
      <c r="A7" t="s">
        <v>31</v>
      </c>
      <c r="B7">
        <v>2</v>
      </c>
      <c r="C7">
        <v>-1</v>
      </c>
      <c r="D7">
        <v>-1</v>
      </c>
      <c r="E7">
        <v>2</v>
      </c>
      <c r="F7">
        <v>0</v>
      </c>
      <c r="G7">
        <v>0</v>
      </c>
      <c r="I7" t="s">
        <v>35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D9AA1-D452-46EA-88B2-3E17D60A1A0C}">
  <sheetPr codeName="Sheet17"/>
  <dimension ref="A1:G5"/>
  <sheetViews>
    <sheetView workbookViewId="0"/>
  </sheetViews>
  <sheetFormatPr defaultRowHeight="14.5" x14ac:dyDescent="0.35"/>
  <sheetData>
    <row r="1" spans="1:7" x14ac:dyDescent="0.35">
      <c r="B1" t="s">
        <v>0</v>
      </c>
      <c r="C1" t="s">
        <v>64</v>
      </c>
      <c r="D1" t="s">
        <v>86</v>
      </c>
      <c r="E1" t="s">
        <v>87</v>
      </c>
      <c r="F1" t="s">
        <v>4</v>
      </c>
      <c r="G1" t="s">
        <v>5</v>
      </c>
    </row>
    <row r="2" spans="1:7" x14ac:dyDescent="0.35">
      <c r="A2" t="s">
        <v>66</v>
      </c>
      <c r="B2">
        <v>1</v>
      </c>
      <c r="C2">
        <v>1</v>
      </c>
      <c r="D2">
        <v>1</v>
      </c>
      <c r="E2">
        <v>1</v>
      </c>
      <c r="F2" t="s">
        <v>84</v>
      </c>
      <c r="G2" t="s">
        <v>63</v>
      </c>
    </row>
    <row r="3" spans="1:7" x14ac:dyDescent="0.35">
      <c r="A3" t="s">
        <v>67</v>
      </c>
      <c r="B3">
        <v>1</v>
      </c>
      <c r="C3">
        <v>1</v>
      </c>
      <c r="D3">
        <v>-1</v>
      </c>
      <c r="E3">
        <v>-1</v>
      </c>
      <c r="F3" t="s">
        <v>85</v>
      </c>
      <c r="G3" t="s">
        <v>55</v>
      </c>
    </row>
    <row r="4" spans="1:7" x14ac:dyDescent="0.35">
      <c r="A4" t="s">
        <v>58</v>
      </c>
      <c r="B4">
        <v>1</v>
      </c>
      <c r="C4">
        <v>-1</v>
      </c>
      <c r="D4">
        <v>1</v>
      </c>
      <c r="E4">
        <v>-1</v>
      </c>
      <c r="F4" t="s">
        <v>88</v>
      </c>
      <c r="G4" t="s">
        <v>56</v>
      </c>
    </row>
    <row r="5" spans="1:7" x14ac:dyDescent="0.35">
      <c r="A5" t="s">
        <v>59</v>
      </c>
      <c r="B5">
        <v>1</v>
      </c>
      <c r="C5">
        <v>-1</v>
      </c>
      <c r="D5">
        <v>-1</v>
      </c>
      <c r="E5">
        <v>1</v>
      </c>
      <c r="F5" t="s">
        <v>89</v>
      </c>
      <c r="G5" t="s">
        <v>57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7AB9D-E5D3-4F62-B7C4-A941B13A35D5}">
  <sheetPr codeName="Sheet18"/>
  <dimension ref="A1:F4"/>
  <sheetViews>
    <sheetView workbookViewId="0"/>
  </sheetViews>
  <sheetFormatPr defaultRowHeight="14.5" x14ac:dyDescent="0.35"/>
  <sheetData>
    <row r="1" spans="1:6" x14ac:dyDescent="0.35">
      <c r="B1" t="s">
        <v>0</v>
      </c>
      <c r="C1" t="s">
        <v>68</v>
      </c>
      <c r="D1" t="s">
        <v>90</v>
      </c>
      <c r="E1" t="s">
        <v>4</v>
      </c>
      <c r="F1" t="s">
        <v>5</v>
      </c>
    </row>
    <row r="2" spans="1:6" x14ac:dyDescent="0.35">
      <c r="A2" t="s">
        <v>66</v>
      </c>
      <c r="B2">
        <v>1</v>
      </c>
      <c r="C2">
        <v>1</v>
      </c>
      <c r="D2">
        <v>1</v>
      </c>
      <c r="E2" t="s">
        <v>84</v>
      </c>
      <c r="F2" t="s">
        <v>22</v>
      </c>
    </row>
    <row r="3" spans="1:6" x14ac:dyDescent="0.35">
      <c r="A3" t="s">
        <v>67</v>
      </c>
      <c r="B3">
        <v>1</v>
      </c>
      <c r="C3">
        <v>1</v>
      </c>
      <c r="D3">
        <v>-1</v>
      </c>
      <c r="E3" t="s">
        <v>85</v>
      </c>
    </row>
    <row r="4" spans="1:6" x14ac:dyDescent="0.35">
      <c r="A4" t="s">
        <v>0</v>
      </c>
      <c r="B4">
        <v>2</v>
      </c>
      <c r="C4">
        <v>-1</v>
      </c>
      <c r="D4">
        <v>0</v>
      </c>
      <c r="E4" t="s">
        <v>91</v>
      </c>
      <c r="F4" t="s">
        <v>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D3536-866C-4C8A-BA0D-64812B0A357C}">
  <sheetPr codeName="Sheet19"/>
  <dimension ref="A1:H6"/>
  <sheetViews>
    <sheetView workbookViewId="0">
      <selection activeCell="A7" sqref="A7"/>
    </sheetView>
  </sheetViews>
  <sheetFormatPr defaultRowHeight="14.5" x14ac:dyDescent="0.35"/>
  <sheetData>
    <row r="1" spans="1:8" x14ac:dyDescent="0.35">
      <c r="B1" t="s">
        <v>0</v>
      </c>
      <c r="C1" t="s">
        <v>73</v>
      </c>
      <c r="D1" t="s">
        <v>15</v>
      </c>
      <c r="E1" t="s">
        <v>92</v>
      </c>
      <c r="F1" t="s">
        <v>93</v>
      </c>
      <c r="G1" t="s">
        <v>4</v>
      </c>
      <c r="H1" t="s">
        <v>5</v>
      </c>
    </row>
    <row r="2" spans="1:8" x14ac:dyDescent="0.35">
      <c r="A2" t="s">
        <v>66</v>
      </c>
      <c r="B2">
        <v>1</v>
      </c>
      <c r="C2">
        <v>1</v>
      </c>
      <c r="D2">
        <v>1</v>
      </c>
      <c r="E2">
        <v>1</v>
      </c>
      <c r="F2">
        <v>1</v>
      </c>
      <c r="G2" t="s">
        <v>84</v>
      </c>
      <c r="H2" t="s">
        <v>22</v>
      </c>
    </row>
    <row r="3" spans="1:8" x14ac:dyDescent="0.35">
      <c r="A3" t="s">
        <v>67</v>
      </c>
      <c r="B3">
        <v>1</v>
      </c>
      <c r="C3">
        <v>1</v>
      </c>
      <c r="D3">
        <v>1</v>
      </c>
      <c r="E3">
        <v>-1</v>
      </c>
      <c r="F3">
        <v>-1</v>
      </c>
      <c r="G3" t="s">
        <v>85</v>
      </c>
    </row>
    <row r="4" spans="1:8" x14ac:dyDescent="0.35">
      <c r="A4" t="s">
        <v>58</v>
      </c>
      <c r="B4">
        <v>1</v>
      </c>
      <c r="C4">
        <v>-1</v>
      </c>
      <c r="D4">
        <v>1</v>
      </c>
      <c r="E4">
        <v>1</v>
      </c>
      <c r="F4">
        <v>-1</v>
      </c>
      <c r="H4" t="s">
        <v>72</v>
      </c>
    </row>
    <row r="5" spans="1:8" x14ac:dyDescent="0.35">
      <c r="A5" t="s">
        <v>59</v>
      </c>
      <c r="B5">
        <v>1</v>
      </c>
      <c r="C5">
        <v>-1</v>
      </c>
      <c r="D5">
        <v>1</v>
      </c>
      <c r="E5">
        <v>-1</v>
      </c>
      <c r="F5">
        <v>1</v>
      </c>
      <c r="H5" t="s">
        <v>55</v>
      </c>
    </row>
    <row r="6" spans="1:8" x14ac:dyDescent="0.35">
      <c r="A6" t="s">
        <v>0</v>
      </c>
      <c r="B6">
        <v>2</v>
      </c>
      <c r="C6">
        <v>0</v>
      </c>
      <c r="D6">
        <v>-2</v>
      </c>
      <c r="E6">
        <v>0</v>
      </c>
      <c r="F6">
        <v>0</v>
      </c>
      <c r="G6" t="s">
        <v>21</v>
      </c>
      <c r="H6" t="s">
        <v>37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F9AD1-FBEF-457C-A026-7850B3B89F1A}">
  <sheetPr codeName="Sheet20"/>
  <dimension ref="A1:G5"/>
  <sheetViews>
    <sheetView workbookViewId="0">
      <selection activeCell="C5" sqref="C5"/>
    </sheetView>
  </sheetViews>
  <sheetFormatPr defaultRowHeight="14.5" x14ac:dyDescent="0.35"/>
  <sheetData>
    <row r="1" spans="1:7" x14ac:dyDescent="0.35">
      <c r="B1" t="s">
        <v>0</v>
      </c>
      <c r="C1" t="s">
        <v>79</v>
      </c>
      <c r="D1" t="s">
        <v>80</v>
      </c>
      <c r="E1" t="s">
        <v>94</v>
      </c>
      <c r="F1" t="s">
        <v>4</v>
      </c>
      <c r="G1" t="s">
        <v>5</v>
      </c>
    </row>
    <row r="2" spans="1:7" x14ac:dyDescent="0.35">
      <c r="A2" t="s">
        <v>66</v>
      </c>
      <c r="B2">
        <v>1</v>
      </c>
      <c r="C2">
        <v>1</v>
      </c>
      <c r="D2">
        <v>1</v>
      </c>
      <c r="E2">
        <v>1</v>
      </c>
      <c r="F2" t="s">
        <v>84</v>
      </c>
      <c r="G2" t="s">
        <v>22</v>
      </c>
    </row>
    <row r="3" spans="1:7" x14ac:dyDescent="0.35">
      <c r="A3" t="s">
        <v>67</v>
      </c>
      <c r="B3">
        <v>1</v>
      </c>
      <c r="C3">
        <v>1</v>
      </c>
      <c r="D3">
        <v>1</v>
      </c>
      <c r="E3">
        <v>-1</v>
      </c>
      <c r="F3" t="s">
        <v>85</v>
      </c>
    </row>
    <row r="4" spans="1:7" x14ac:dyDescent="0.35">
      <c r="A4" t="s">
        <v>30</v>
      </c>
      <c r="B4">
        <v>2</v>
      </c>
      <c r="C4">
        <f>2*COS(2*PI()/5)</f>
        <v>0.6180339887498949</v>
      </c>
      <c r="D4">
        <f>2*COS(4*PI()/5)</f>
        <v>-1.6180339887498947</v>
      </c>
      <c r="E4">
        <v>0</v>
      </c>
      <c r="F4" t="s">
        <v>21</v>
      </c>
      <c r="G4" t="s">
        <v>37</v>
      </c>
    </row>
    <row r="5" spans="1:7" x14ac:dyDescent="0.35">
      <c r="A5" t="s">
        <v>31</v>
      </c>
      <c r="B5">
        <v>2</v>
      </c>
      <c r="C5">
        <f>2*COS(4*PI()/5)</f>
        <v>-1.6180339887498947</v>
      </c>
      <c r="D5">
        <f>2*COS(2*PI()/5)</f>
        <v>0.6180339887498949</v>
      </c>
      <c r="E5">
        <v>0</v>
      </c>
      <c r="G5" t="s">
        <v>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A43BD-C48F-4D99-B339-82B56C3CB6F8}">
  <sheetPr codeName="Sheet21"/>
  <dimension ref="A1:I7"/>
  <sheetViews>
    <sheetView workbookViewId="0">
      <selection activeCell="H7" sqref="H7"/>
    </sheetView>
  </sheetViews>
  <sheetFormatPr defaultRowHeight="14.5" x14ac:dyDescent="0.35"/>
  <sheetData>
    <row r="1" spans="1:9" x14ac:dyDescent="0.35">
      <c r="B1" t="s">
        <v>0</v>
      </c>
      <c r="C1" t="s">
        <v>82</v>
      </c>
      <c r="D1" t="s">
        <v>68</v>
      </c>
      <c r="E1" t="s">
        <v>64</v>
      </c>
      <c r="F1" t="s">
        <v>90</v>
      </c>
      <c r="G1" t="s">
        <v>96</v>
      </c>
      <c r="H1" t="s">
        <v>4</v>
      </c>
      <c r="I1" t="s">
        <v>5</v>
      </c>
    </row>
    <row r="2" spans="1:9" x14ac:dyDescent="0.35">
      <c r="A2" t="s">
        <v>66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 t="s">
        <v>84</v>
      </c>
      <c r="I2" t="s">
        <v>22</v>
      </c>
    </row>
    <row r="3" spans="1:9" x14ac:dyDescent="0.35">
      <c r="A3" t="s">
        <v>67</v>
      </c>
      <c r="B3">
        <v>1</v>
      </c>
      <c r="C3">
        <v>1</v>
      </c>
      <c r="D3">
        <v>1</v>
      </c>
      <c r="E3">
        <v>1</v>
      </c>
      <c r="F3">
        <v>-1</v>
      </c>
      <c r="G3">
        <v>-1</v>
      </c>
      <c r="H3" t="s">
        <v>85</v>
      </c>
    </row>
    <row r="4" spans="1:9" x14ac:dyDescent="0.35">
      <c r="A4" t="s">
        <v>58</v>
      </c>
      <c r="B4">
        <v>1</v>
      </c>
      <c r="C4">
        <v>-1</v>
      </c>
      <c r="D4">
        <v>1</v>
      </c>
      <c r="E4">
        <v>-1</v>
      </c>
      <c r="F4">
        <v>1</v>
      </c>
      <c r="G4">
        <v>-1</v>
      </c>
    </row>
    <row r="5" spans="1:9" x14ac:dyDescent="0.35">
      <c r="A5" t="s">
        <v>59</v>
      </c>
      <c r="B5">
        <v>1</v>
      </c>
      <c r="C5">
        <v>-1</v>
      </c>
      <c r="D5">
        <v>1</v>
      </c>
      <c r="E5">
        <v>-1</v>
      </c>
      <c r="F5">
        <v>-1</v>
      </c>
      <c r="G5">
        <v>1</v>
      </c>
    </row>
    <row r="6" spans="1:9" x14ac:dyDescent="0.35">
      <c r="A6" t="s">
        <v>30</v>
      </c>
      <c r="B6">
        <v>2</v>
      </c>
      <c r="C6">
        <v>1</v>
      </c>
      <c r="D6">
        <v>-1</v>
      </c>
      <c r="E6">
        <v>-2</v>
      </c>
      <c r="F6">
        <v>0</v>
      </c>
      <c r="G6">
        <v>0</v>
      </c>
      <c r="H6" t="s">
        <v>21</v>
      </c>
      <c r="I6" t="s">
        <v>37</v>
      </c>
    </row>
    <row r="7" spans="1:9" x14ac:dyDescent="0.35">
      <c r="A7" t="s">
        <v>31</v>
      </c>
      <c r="B7">
        <v>2</v>
      </c>
      <c r="C7">
        <v>-1</v>
      </c>
      <c r="D7">
        <v>-1</v>
      </c>
      <c r="E7">
        <v>2</v>
      </c>
      <c r="F7">
        <v>0</v>
      </c>
      <c r="G7">
        <v>0</v>
      </c>
      <c r="I7" t="s">
        <v>35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B6BB-DA60-4F48-A5DE-96F3B6BEB74A}">
  <sheetPr codeName="Sheet22"/>
  <dimension ref="A1:G5"/>
  <sheetViews>
    <sheetView workbookViewId="0">
      <selection activeCell="F6" sqref="F6"/>
    </sheetView>
  </sheetViews>
  <sheetFormatPr defaultRowHeight="14.5" x14ac:dyDescent="0.35"/>
  <sheetData>
    <row r="1" spans="1:7" x14ac:dyDescent="0.35">
      <c r="B1" t="s">
        <v>0</v>
      </c>
      <c r="C1" t="s">
        <v>64</v>
      </c>
      <c r="D1" t="s">
        <v>10</v>
      </c>
      <c r="E1" t="s">
        <v>95</v>
      </c>
      <c r="F1" t="s">
        <v>4</v>
      </c>
      <c r="G1" t="s">
        <v>5</v>
      </c>
    </row>
    <row r="2" spans="1:7" x14ac:dyDescent="0.35">
      <c r="A2" t="s">
        <v>11</v>
      </c>
      <c r="B2">
        <v>1</v>
      </c>
      <c r="C2">
        <v>1</v>
      </c>
      <c r="D2">
        <v>1</v>
      </c>
      <c r="E2">
        <v>1</v>
      </c>
      <c r="F2" t="s">
        <v>85</v>
      </c>
      <c r="G2" t="s">
        <v>8</v>
      </c>
    </row>
    <row r="3" spans="1:7" x14ac:dyDescent="0.35">
      <c r="A3" t="s">
        <v>97</v>
      </c>
      <c r="B3">
        <v>1</v>
      </c>
      <c r="C3">
        <v>-1</v>
      </c>
      <c r="D3">
        <v>1</v>
      </c>
      <c r="E3">
        <v>-1</v>
      </c>
      <c r="F3" t="s">
        <v>100</v>
      </c>
      <c r="G3" t="s">
        <v>99</v>
      </c>
    </row>
    <row r="4" spans="1:7" x14ac:dyDescent="0.35">
      <c r="A4" t="s">
        <v>12</v>
      </c>
      <c r="B4">
        <v>1</v>
      </c>
      <c r="C4">
        <v>1</v>
      </c>
      <c r="D4">
        <v>-1</v>
      </c>
      <c r="E4">
        <v>-1</v>
      </c>
      <c r="F4" t="s">
        <v>84</v>
      </c>
    </row>
    <row r="5" spans="1:7" x14ac:dyDescent="0.35">
      <c r="A5" t="s">
        <v>98</v>
      </c>
      <c r="B5">
        <v>1</v>
      </c>
      <c r="C5">
        <v>-1</v>
      </c>
      <c r="D5">
        <v>-1</v>
      </c>
      <c r="E5">
        <v>1</v>
      </c>
      <c r="F5" t="s">
        <v>101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B6EFC-7069-4AD8-A8E6-44510886FB8B}">
  <sheetPr codeName="Sheet23"/>
  <dimension ref="A1:I6"/>
  <sheetViews>
    <sheetView workbookViewId="0">
      <selection activeCell="G5" sqref="G5"/>
    </sheetView>
  </sheetViews>
  <sheetFormatPr defaultRowHeight="14.5" x14ac:dyDescent="0.35"/>
  <sheetData>
    <row r="1" spans="1:9" x14ac:dyDescent="0.35">
      <c r="A1" t="s">
        <v>51</v>
      </c>
      <c r="B1" t="s">
        <v>0</v>
      </c>
      <c r="C1" t="s">
        <v>105</v>
      </c>
      <c r="D1" t="s">
        <v>20</v>
      </c>
      <c r="E1" t="s">
        <v>95</v>
      </c>
      <c r="F1" t="s">
        <v>102</v>
      </c>
      <c r="G1" t="s">
        <v>106</v>
      </c>
      <c r="H1" t="s">
        <v>4</v>
      </c>
      <c r="I1" t="s">
        <v>5</v>
      </c>
    </row>
    <row r="2" spans="1:9" x14ac:dyDescent="0.35">
      <c r="A2" t="s">
        <v>2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 t="s">
        <v>85</v>
      </c>
      <c r="I2" t="s">
        <v>22</v>
      </c>
    </row>
    <row r="3" spans="1:9" x14ac:dyDescent="0.35">
      <c r="A3" t="s">
        <v>103</v>
      </c>
      <c r="B3" s="5">
        <v>2</v>
      </c>
      <c r="C3" s="5">
        <f>2*COS(2*PI()/3)</f>
        <v>-0.99999999999999956</v>
      </c>
      <c r="D3" s="5">
        <f>2*COS(2*PI()/3)</f>
        <v>-0.99999999999999956</v>
      </c>
      <c r="E3" s="5">
        <v>1</v>
      </c>
      <c r="F3" s="5">
        <f>2*COS(2*PI()/3)</f>
        <v>-0.99999999999999956</v>
      </c>
      <c r="G3" s="5">
        <f>2*COS(2*PI()/3)</f>
        <v>-0.99999999999999956</v>
      </c>
      <c r="H3" t="s">
        <v>107</v>
      </c>
      <c r="I3" t="s">
        <v>35</v>
      </c>
    </row>
    <row r="4" spans="1:9" x14ac:dyDescent="0.35">
      <c r="A4" t="s">
        <v>3</v>
      </c>
      <c r="B4" s="5">
        <v>1</v>
      </c>
      <c r="C4" s="5">
        <v>1</v>
      </c>
      <c r="D4" s="5">
        <v>1</v>
      </c>
      <c r="E4" s="5">
        <v>-1</v>
      </c>
      <c r="F4" s="5">
        <v>-1</v>
      </c>
      <c r="G4" s="5">
        <v>-1</v>
      </c>
      <c r="H4" t="s">
        <v>84</v>
      </c>
    </row>
    <row r="5" spans="1:9" x14ac:dyDescent="0.35">
      <c r="A5" t="s">
        <v>104</v>
      </c>
      <c r="B5" s="5">
        <v>2</v>
      </c>
      <c r="C5" s="5">
        <f>2*COS(2*PI()/3)</f>
        <v>-0.99999999999999956</v>
      </c>
      <c r="D5" s="5">
        <f>2*COS(2*PI()/3)</f>
        <v>-0.99999999999999956</v>
      </c>
      <c r="E5" s="5">
        <v>-2</v>
      </c>
      <c r="F5" s="5">
        <f>-2*COS(2*PI()/3)</f>
        <v>0.99999999999999956</v>
      </c>
      <c r="G5" s="5">
        <f>-2*COS(2*PI()/3)</f>
        <v>0.99999999999999956</v>
      </c>
      <c r="H5" t="s">
        <v>108</v>
      </c>
      <c r="I5" t="s">
        <v>37</v>
      </c>
    </row>
    <row r="6" spans="1:9" x14ac:dyDescent="0.35">
      <c r="B6" s="5"/>
      <c r="C6" s="5"/>
      <c r="D6" s="5"/>
      <c r="E6" s="5"/>
      <c r="F6" s="5"/>
      <c r="G6" s="5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57C3F-0273-42F2-A125-C8121976B505}">
  <sheetPr codeName="Sheet24"/>
  <dimension ref="A1:K7"/>
  <sheetViews>
    <sheetView workbookViewId="0">
      <selection activeCell="J6" sqref="J6"/>
    </sheetView>
  </sheetViews>
  <sheetFormatPr defaultRowHeight="14.5" x14ac:dyDescent="0.35"/>
  <sheetData>
    <row r="1" spans="1:11" x14ac:dyDescent="0.35">
      <c r="B1" t="s">
        <v>0</v>
      </c>
      <c r="C1" t="s">
        <v>112</v>
      </c>
      <c r="D1" t="s">
        <v>15</v>
      </c>
      <c r="E1" t="s">
        <v>25</v>
      </c>
      <c r="F1" t="s">
        <v>10</v>
      </c>
      <c r="G1" t="s">
        <v>113</v>
      </c>
      <c r="H1" t="s">
        <v>95</v>
      </c>
      <c r="I1" t="s">
        <v>109</v>
      </c>
      <c r="J1" t="s">
        <v>4</v>
      </c>
      <c r="K1" t="s">
        <v>5</v>
      </c>
    </row>
    <row r="2" spans="1:11" x14ac:dyDescent="0.35">
      <c r="A2" t="s">
        <v>11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 t="s">
        <v>85</v>
      </c>
      <c r="K2" t="s">
        <v>22</v>
      </c>
    </row>
    <row r="3" spans="1:11" x14ac:dyDescent="0.35">
      <c r="A3" t="s">
        <v>97</v>
      </c>
      <c r="B3">
        <v>1</v>
      </c>
      <c r="C3">
        <v>-1</v>
      </c>
      <c r="D3">
        <v>1</v>
      </c>
      <c r="E3">
        <v>-1</v>
      </c>
      <c r="F3">
        <v>1</v>
      </c>
      <c r="G3">
        <v>-1</v>
      </c>
      <c r="H3">
        <v>1</v>
      </c>
      <c r="I3">
        <v>-1</v>
      </c>
      <c r="K3" t="s">
        <v>26</v>
      </c>
    </row>
    <row r="4" spans="1:11" x14ac:dyDescent="0.35">
      <c r="A4" t="s">
        <v>110</v>
      </c>
      <c r="B4">
        <v>2</v>
      </c>
      <c r="C4">
        <v>0</v>
      </c>
      <c r="D4">
        <v>-2</v>
      </c>
      <c r="E4">
        <v>0</v>
      </c>
      <c r="F4">
        <v>2</v>
      </c>
      <c r="G4">
        <v>0</v>
      </c>
      <c r="H4">
        <v>-2</v>
      </c>
      <c r="I4">
        <v>0</v>
      </c>
      <c r="J4" t="s">
        <v>108</v>
      </c>
      <c r="K4" t="s">
        <v>37</v>
      </c>
    </row>
    <row r="5" spans="1:11" x14ac:dyDescent="0.35">
      <c r="A5" t="s">
        <v>12</v>
      </c>
      <c r="B5">
        <v>1</v>
      </c>
      <c r="C5">
        <v>1</v>
      </c>
      <c r="D5">
        <v>1</v>
      </c>
      <c r="E5">
        <v>1</v>
      </c>
      <c r="F5">
        <v>-1</v>
      </c>
      <c r="G5">
        <v>-1</v>
      </c>
      <c r="H5">
        <v>-1</v>
      </c>
      <c r="I5">
        <v>-1</v>
      </c>
      <c r="J5" t="s">
        <v>84</v>
      </c>
    </row>
    <row r="6" spans="1:11" x14ac:dyDescent="0.35">
      <c r="A6" t="s">
        <v>98</v>
      </c>
      <c r="B6">
        <v>1</v>
      </c>
      <c r="C6">
        <v>-1</v>
      </c>
      <c r="D6">
        <v>1</v>
      </c>
      <c r="E6">
        <v>-1</v>
      </c>
      <c r="F6">
        <v>-1</v>
      </c>
      <c r="G6">
        <v>1</v>
      </c>
      <c r="H6">
        <v>-1</v>
      </c>
      <c r="I6">
        <v>1</v>
      </c>
    </row>
    <row r="7" spans="1:11" x14ac:dyDescent="0.35">
      <c r="A7" t="s">
        <v>111</v>
      </c>
      <c r="B7">
        <v>2</v>
      </c>
      <c r="C7">
        <v>0</v>
      </c>
      <c r="D7">
        <v>-2</v>
      </c>
      <c r="E7">
        <v>0</v>
      </c>
      <c r="F7">
        <v>-2</v>
      </c>
      <c r="G7">
        <v>0</v>
      </c>
      <c r="H7">
        <v>2</v>
      </c>
      <c r="I7">
        <v>0</v>
      </c>
      <c r="J7" t="s">
        <v>107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7687-D8AD-4F18-B955-7BB1395F5E0E}">
  <sheetPr codeName="Sheet25"/>
  <dimension ref="A1:M8"/>
  <sheetViews>
    <sheetView topLeftCell="B1" zoomScale="87" workbookViewId="0">
      <selection activeCell="D3" sqref="D3"/>
    </sheetView>
  </sheetViews>
  <sheetFormatPr defaultRowHeight="14.5" x14ac:dyDescent="0.35"/>
  <sheetData>
    <row r="1" spans="1:13" x14ac:dyDescent="0.35">
      <c r="A1" t="s">
        <v>52</v>
      </c>
      <c r="B1" t="s">
        <v>0</v>
      </c>
      <c r="C1" t="s">
        <v>28</v>
      </c>
      <c r="D1" t="s">
        <v>32</v>
      </c>
      <c r="E1" t="s">
        <v>33</v>
      </c>
      <c r="F1" t="s">
        <v>34</v>
      </c>
      <c r="G1" t="s">
        <v>95</v>
      </c>
      <c r="H1" t="s">
        <v>114</v>
      </c>
      <c r="I1" t="s">
        <v>119</v>
      </c>
      <c r="J1" t="s">
        <v>120</v>
      </c>
      <c r="K1" t="s">
        <v>121</v>
      </c>
      <c r="L1" t="s">
        <v>4</v>
      </c>
      <c r="M1" t="s">
        <v>5</v>
      </c>
    </row>
    <row r="2" spans="1:13" x14ac:dyDescent="0.35">
      <c r="A2" t="s">
        <v>2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 t="s">
        <v>85</v>
      </c>
      <c r="M2" t="s">
        <v>22</v>
      </c>
    </row>
    <row r="3" spans="1:13" x14ac:dyDescent="0.35">
      <c r="A3" t="s">
        <v>115</v>
      </c>
      <c r="B3" s="5">
        <v>2</v>
      </c>
      <c r="C3" s="5">
        <f>2*COS(2*PI()/5)</f>
        <v>0.6180339887498949</v>
      </c>
      <c r="D3" s="5">
        <f>2*COS(4*PI()/5)</f>
        <v>-1.6180339887498947</v>
      </c>
      <c r="E3" s="5">
        <f>2*COS(4*PI()/5)</f>
        <v>-1.6180339887498947</v>
      </c>
      <c r="F3" s="5">
        <f>2*COS(2*PI()/5)</f>
        <v>0.6180339887498949</v>
      </c>
      <c r="G3" s="5">
        <v>2</v>
      </c>
      <c r="H3" s="5">
        <f>2*COS(2*PI()/5)</f>
        <v>0.6180339887498949</v>
      </c>
      <c r="I3" s="5">
        <f>2*COS(4*PI()/5)</f>
        <v>-1.6180339887498947</v>
      </c>
      <c r="J3" s="5">
        <f>2*COS(4*PI()/5)</f>
        <v>-1.6180339887498947</v>
      </c>
      <c r="K3" s="5">
        <f>2*COS(2*PI()/5)</f>
        <v>0.6180339887498949</v>
      </c>
      <c r="L3" s="1" t="s">
        <v>107</v>
      </c>
    </row>
    <row r="4" spans="1:13" x14ac:dyDescent="0.35">
      <c r="A4" t="s">
        <v>116</v>
      </c>
      <c r="B4" s="5">
        <v>2</v>
      </c>
      <c r="C4" s="5">
        <f>2*COS(4*PI()/5)</f>
        <v>-1.6180339887498947</v>
      </c>
      <c r="D4" s="5">
        <f>2*COS(2*PI()/5)</f>
        <v>0.6180339887498949</v>
      </c>
      <c r="E4" s="5">
        <f>2*COS(2*PI()/5)</f>
        <v>0.6180339887498949</v>
      </c>
      <c r="F4" s="5">
        <f>2*COS(4*PI()/5)</f>
        <v>-1.6180339887498947</v>
      </c>
      <c r="G4" s="5">
        <v>2</v>
      </c>
      <c r="H4" s="5">
        <f>2*COS(4*PI()/5)</f>
        <v>-1.6180339887498947</v>
      </c>
      <c r="I4" s="5">
        <f>2*COS(2*PI()/5)</f>
        <v>0.6180339887498949</v>
      </c>
      <c r="J4" s="5">
        <f>2*COS(2*PI()/5)</f>
        <v>0.6180339887498949</v>
      </c>
      <c r="K4" s="5">
        <f>2*COS(4*PI()/5)</f>
        <v>-1.6180339887498947</v>
      </c>
      <c r="M4" t="s">
        <v>35</v>
      </c>
    </row>
    <row r="5" spans="1:13" x14ac:dyDescent="0.35">
      <c r="A5" t="s">
        <v>3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-1</v>
      </c>
      <c r="H5" s="5">
        <v>-1</v>
      </c>
      <c r="I5" s="5">
        <v>-1</v>
      </c>
      <c r="J5" s="5">
        <v>-1</v>
      </c>
      <c r="K5" s="5">
        <v>-1</v>
      </c>
      <c r="L5" t="s">
        <v>84</v>
      </c>
    </row>
    <row r="6" spans="1:13" x14ac:dyDescent="0.35">
      <c r="A6" t="s">
        <v>117</v>
      </c>
      <c r="B6" s="5">
        <v>2</v>
      </c>
      <c r="C6" s="5">
        <f>2*COS(2*PI()/5)</f>
        <v>0.6180339887498949</v>
      </c>
      <c r="D6" s="5">
        <f>2*COS(4*PI()/5)</f>
        <v>-1.6180339887498947</v>
      </c>
      <c r="E6" s="5">
        <f>2*COS(4*PI()/5)</f>
        <v>-1.6180339887498947</v>
      </c>
      <c r="F6" s="5">
        <f>2*COS(2*PI()/5)</f>
        <v>0.6180339887498949</v>
      </c>
      <c r="G6" s="5">
        <v>-2</v>
      </c>
      <c r="H6" s="5">
        <f>-2*COS(2*PI()/5)</f>
        <v>-0.6180339887498949</v>
      </c>
      <c r="I6" s="5">
        <f>-2*COS(4*PI()/5)</f>
        <v>1.6180339887498947</v>
      </c>
      <c r="J6" s="5">
        <f>-2*COS(4*PI()/5)</f>
        <v>1.6180339887498947</v>
      </c>
      <c r="K6" s="5">
        <f>-2*COS(2*PI()/5)</f>
        <v>-0.6180339887498949</v>
      </c>
      <c r="L6" t="s">
        <v>108</v>
      </c>
      <c r="M6" t="s">
        <v>37</v>
      </c>
    </row>
    <row r="7" spans="1:13" x14ac:dyDescent="0.35">
      <c r="A7" t="s">
        <v>118</v>
      </c>
      <c r="B7" s="5">
        <v>2</v>
      </c>
      <c r="C7" s="5">
        <f>2*COS(4*PI()/5)</f>
        <v>-1.6180339887498947</v>
      </c>
      <c r="D7" s="5">
        <f>2*COS(2*PI()/5)</f>
        <v>0.6180339887498949</v>
      </c>
      <c r="E7" s="5">
        <f>2*COS(2*PI()/5)</f>
        <v>0.6180339887498949</v>
      </c>
      <c r="F7" s="5">
        <f>2*COS(4*PI()/5)</f>
        <v>-1.6180339887498947</v>
      </c>
      <c r="G7" s="5">
        <v>-2</v>
      </c>
      <c r="H7" s="5">
        <f>-2*COS(4*PI()/5)</f>
        <v>1.6180339887498947</v>
      </c>
      <c r="I7" s="5">
        <f>-2*COS(2*PI()/5)</f>
        <v>-0.6180339887498949</v>
      </c>
      <c r="J7" s="5">
        <f>-2*COS(2*PI()/5)</f>
        <v>-0.6180339887498949</v>
      </c>
      <c r="K7" s="5">
        <f>-2*COS(4*PI()/5)</f>
        <v>1.6180339887498947</v>
      </c>
    </row>
    <row r="8" spans="1:13" x14ac:dyDescent="0.35">
      <c r="B8" s="5"/>
      <c r="C8" s="5"/>
      <c r="D8" s="5"/>
      <c r="E8" s="5"/>
      <c r="F8" s="5"/>
      <c r="G8" s="5"/>
      <c r="H8" s="5"/>
      <c r="I8" s="5"/>
      <c r="J8" s="5"/>
      <c r="K8" s="5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DC3D2-163D-423D-A780-C35BEDAB8526}">
  <sheetPr codeName="Sheet26"/>
  <dimension ref="A1:O11"/>
  <sheetViews>
    <sheetView topLeftCell="H1" workbookViewId="0">
      <selection activeCell="I9" sqref="I9"/>
    </sheetView>
  </sheetViews>
  <sheetFormatPr defaultRowHeight="14.5" x14ac:dyDescent="0.35"/>
  <sheetData>
    <row r="1" spans="1:15" x14ac:dyDescent="0.35">
      <c r="A1" t="s">
        <v>53</v>
      </c>
      <c r="B1" t="s">
        <v>0</v>
      </c>
      <c r="C1" t="s">
        <v>127</v>
      </c>
      <c r="D1" t="s">
        <v>19</v>
      </c>
      <c r="E1" t="s">
        <v>15</v>
      </c>
      <c r="F1" t="s">
        <v>20</v>
      </c>
      <c r="G1" t="s">
        <v>40</v>
      </c>
      <c r="H1" t="s">
        <v>10</v>
      </c>
      <c r="I1" t="s">
        <v>106</v>
      </c>
      <c r="J1" t="s">
        <v>128</v>
      </c>
      <c r="K1" t="s">
        <v>95</v>
      </c>
      <c r="L1" t="s">
        <v>122</v>
      </c>
      <c r="M1" t="s">
        <v>102</v>
      </c>
      <c r="N1" t="s">
        <v>4</v>
      </c>
      <c r="O1" t="s">
        <v>5</v>
      </c>
    </row>
    <row r="2" spans="1:15" x14ac:dyDescent="0.35">
      <c r="A2" t="s">
        <v>11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 t="s">
        <v>85</v>
      </c>
      <c r="O2" t="s">
        <v>22</v>
      </c>
    </row>
    <row r="3" spans="1:15" x14ac:dyDescent="0.35">
      <c r="A3" t="s">
        <v>97</v>
      </c>
      <c r="B3">
        <v>1</v>
      </c>
      <c r="C3">
        <v>-1</v>
      </c>
      <c r="D3">
        <v>1</v>
      </c>
      <c r="E3">
        <v>-1</v>
      </c>
      <c r="F3">
        <v>1</v>
      </c>
      <c r="G3">
        <v>-1</v>
      </c>
      <c r="H3">
        <v>1</v>
      </c>
      <c r="I3">
        <v>-1</v>
      </c>
      <c r="J3">
        <v>1</v>
      </c>
      <c r="K3">
        <v>-1</v>
      </c>
      <c r="L3">
        <v>1</v>
      </c>
      <c r="M3">
        <v>-1</v>
      </c>
    </row>
    <row r="4" spans="1:15" x14ac:dyDescent="0.35">
      <c r="A4" t="s">
        <v>123</v>
      </c>
      <c r="B4" s="5">
        <v>2</v>
      </c>
      <c r="C4" s="5">
        <f>2*COS(2*PI()/6)</f>
        <v>1.0000000000000002</v>
      </c>
      <c r="D4" s="5">
        <f>-2*COS(2*PI()/6)</f>
        <v>-1.0000000000000002</v>
      </c>
      <c r="E4" s="5">
        <v>-2</v>
      </c>
      <c r="F4" s="5">
        <f>-2*COS(2*PI()/6)</f>
        <v>-1.0000000000000002</v>
      </c>
      <c r="G4" s="5">
        <f>2*COS(2*PI()/6)</f>
        <v>1.0000000000000002</v>
      </c>
      <c r="H4" s="5">
        <v>2</v>
      </c>
      <c r="I4" s="5">
        <f>2*COS(2*PI()/6)</f>
        <v>1.0000000000000002</v>
      </c>
      <c r="J4" s="5">
        <f>-2*COS(2*PI()/6)</f>
        <v>-1.0000000000000002</v>
      </c>
      <c r="K4" s="5">
        <v>-2</v>
      </c>
      <c r="L4" s="5">
        <f>-2*COS(2*PI()/6)</f>
        <v>-1.0000000000000002</v>
      </c>
      <c r="M4" s="5">
        <f>2*COS(2*PI()/6)</f>
        <v>1.0000000000000002</v>
      </c>
      <c r="N4" s="1" t="s">
        <v>108</v>
      </c>
      <c r="O4" t="s">
        <v>37</v>
      </c>
    </row>
    <row r="5" spans="1:15" x14ac:dyDescent="0.35">
      <c r="A5" t="s">
        <v>124</v>
      </c>
      <c r="B5" s="5">
        <v>2</v>
      </c>
      <c r="C5" s="5">
        <f>-2*COS(2*PI()/6)</f>
        <v>-1.0000000000000002</v>
      </c>
      <c r="D5" s="5">
        <f>-2*COS(2*PI()/6)</f>
        <v>-1.0000000000000002</v>
      </c>
      <c r="E5" s="5">
        <v>2</v>
      </c>
      <c r="F5" s="5">
        <f>-2*COS(2*PI()/6)</f>
        <v>-1.0000000000000002</v>
      </c>
      <c r="G5" s="5">
        <f>-2*COS(2*PI()/6)</f>
        <v>-1.0000000000000002</v>
      </c>
      <c r="H5" s="5">
        <v>2</v>
      </c>
      <c r="I5" s="5">
        <f>-2*COS(2*PI()/6)</f>
        <v>-1.0000000000000002</v>
      </c>
      <c r="J5" s="5">
        <f>-2*COS(2*PI()/6)</f>
        <v>-1.0000000000000002</v>
      </c>
      <c r="K5" s="5">
        <v>2</v>
      </c>
      <c r="L5" s="5">
        <f>-2*COS(2*PI()/6)</f>
        <v>-1.0000000000000002</v>
      </c>
      <c r="M5" s="5">
        <f>-2*COS(2*PI()/6)</f>
        <v>-1.0000000000000002</v>
      </c>
      <c r="O5" t="s">
        <v>35</v>
      </c>
    </row>
    <row r="6" spans="1:15" x14ac:dyDescent="0.35">
      <c r="A6" t="s">
        <v>12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-1</v>
      </c>
      <c r="I6" s="5">
        <v>-1</v>
      </c>
      <c r="J6" s="5">
        <v>-1</v>
      </c>
      <c r="K6" s="5">
        <v>-1</v>
      </c>
      <c r="L6" s="5">
        <v>-1</v>
      </c>
      <c r="M6" s="5">
        <v>-1</v>
      </c>
      <c r="N6" t="s">
        <v>84</v>
      </c>
    </row>
    <row r="7" spans="1:15" x14ac:dyDescent="0.35">
      <c r="A7" t="s">
        <v>98</v>
      </c>
      <c r="B7" s="5">
        <v>1</v>
      </c>
      <c r="C7" s="5">
        <v>-1</v>
      </c>
      <c r="D7" s="5">
        <v>1</v>
      </c>
      <c r="E7" s="5">
        <v>-1</v>
      </c>
      <c r="F7" s="5">
        <v>1</v>
      </c>
      <c r="G7" s="5">
        <v>-1</v>
      </c>
      <c r="H7" s="5">
        <v>-1</v>
      </c>
      <c r="I7" s="5">
        <v>1</v>
      </c>
      <c r="J7" s="5">
        <v>-1</v>
      </c>
      <c r="K7" s="5">
        <v>1</v>
      </c>
      <c r="L7" s="5">
        <v>-1</v>
      </c>
      <c r="M7" s="5">
        <v>1</v>
      </c>
    </row>
    <row r="8" spans="1:15" x14ac:dyDescent="0.35">
      <c r="A8" t="s">
        <v>125</v>
      </c>
      <c r="B8" s="5">
        <v>2</v>
      </c>
      <c r="C8" s="5">
        <f>2*COS(2*PI()/6)</f>
        <v>1.0000000000000002</v>
      </c>
      <c r="D8" s="5">
        <f>-2*COS(2*PI()/6)</f>
        <v>-1.0000000000000002</v>
      </c>
      <c r="E8" s="5">
        <v>-2</v>
      </c>
      <c r="F8" s="5">
        <f>-2*COS(2*PI()/6)</f>
        <v>-1.0000000000000002</v>
      </c>
      <c r="G8" s="5">
        <f>2*COS(2*PI()/6)</f>
        <v>1.0000000000000002</v>
      </c>
      <c r="H8" s="5">
        <v>-2</v>
      </c>
      <c r="I8" s="5">
        <f>-2*COS(2*PI()/6)</f>
        <v>-1.0000000000000002</v>
      </c>
      <c r="J8" s="5">
        <f>2*COS(2*PI()/6)</f>
        <v>1.0000000000000002</v>
      </c>
      <c r="K8" s="5">
        <v>2</v>
      </c>
      <c r="L8" s="5">
        <f>2*COS(2*PI()/6)</f>
        <v>1.0000000000000002</v>
      </c>
      <c r="M8" s="5">
        <f>-2*COS(2*PI()/6)</f>
        <v>-1.0000000000000002</v>
      </c>
      <c r="N8" s="1" t="s">
        <v>107</v>
      </c>
    </row>
    <row r="9" spans="1:15" x14ac:dyDescent="0.35">
      <c r="A9" t="s">
        <v>126</v>
      </c>
      <c r="B9" s="5">
        <v>2</v>
      </c>
      <c r="C9" s="5">
        <f>-2*COS(2*PI()/6)</f>
        <v>-1.0000000000000002</v>
      </c>
      <c r="D9" s="5">
        <f>-2*COS(2*PI()/6)</f>
        <v>-1.0000000000000002</v>
      </c>
      <c r="E9" s="5">
        <v>2</v>
      </c>
      <c r="F9" s="5">
        <f>-2*COS(2*PI()/6)</f>
        <v>-1.0000000000000002</v>
      </c>
      <c r="G9" s="5">
        <f>-2*COS(2*PI()/6)</f>
        <v>-1.0000000000000002</v>
      </c>
      <c r="H9" s="5">
        <v>-2</v>
      </c>
      <c r="I9" s="5">
        <f>2*COS(2*PI()/6)</f>
        <v>1.0000000000000002</v>
      </c>
      <c r="J9" s="5">
        <f>2*COS(2*PI()/6)</f>
        <v>1.0000000000000002</v>
      </c>
      <c r="K9" s="5">
        <v>-2</v>
      </c>
      <c r="L9" s="5">
        <f>2*COS(2*PI()/6)</f>
        <v>1.0000000000000002</v>
      </c>
      <c r="M9" s="5">
        <f>2*COS(2*PI()/6)</f>
        <v>1.0000000000000002</v>
      </c>
    </row>
    <row r="10" spans="1:15" x14ac:dyDescent="0.3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" x14ac:dyDescent="0.3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4C01B-CA70-407A-B82B-FF62CD434C4A}">
  <sheetPr codeName="Sheet27"/>
  <dimension ref="A1:K9"/>
  <sheetViews>
    <sheetView workbookViewId="0">
      <selection activeCell="K7" sqref="K7:K9"/>
    </sheetView>
  </sheetViews>
  <sheetFormatPr defaultRowHeight="14.5" x14ac:dyDescent="0.35"/>
  <sheetData>
    <row r="1" spans="1:11" x14ac:dyDescent="0.35">
      <c r="B1" t="s">
        <v>0</v>
      </c>
      <c r="C1" t="s">
        <v>64</v>
      </c>
      <c r="D1" t="s">
        <v>65</v>
      </c>
      <c r="E1" t="s">
        <v>139</v>
      </c>
      <c r="F1" t="s">
        <v>10</v>
      </c>
      <c r="G1" t="s">
        <v>140</v>
      </c>
      <c r="H1" t="s">
        <v>141</v>
      </c>
      <c r="I1" t="s">
        <v>142</v>
      </c>
      <c r="J1" t="s">
        <v>4</v>
      </c>
      <c r="K1" t="s">
        <v>5</v>
      </c>
    </row>
    <row r="2" spans="1:11" x14ac:dyDescent="0.35">
      <c r="A2" t="s">
        <v>11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K2" t="s">
        <v>63</v>
      </c>
    </row>
    <row r="3" spans="1:11" x14ac:dyDescent="0.35">
      <c r="A3" t="s">
        <v>131</v>
      </c>
      <c r="B3">
        <v>1</v>
      </c>
      <c r="C3">
        <v>1</v>
      </c>
      <c r="D3">
        <v>-1</v>
      </c>
      <c r="E3">
        <v>-1</v>
      </c>
      <c r="F3">
        <v>1</v>
      </c>
      <c r="G3">
        <v>1</v>
      </c>
      <c r="H3">
        <v>-1</v>
      </c>
      <c r="I3">
        <v>-1</v>
      </c>
      <c r="J3" t="s">
        <v>85</v>
      </c>
      <c r="K3" t="s">
        <v>55</v>
      </c>
    </row>
    <row r="4" spans="1:11" x14ac:dyDescent="0.35">
      <c r="A4" t="s">
        <v>132</v>
      </c>
      <c r="B4">
        <v>1</v>
      </c>
      <c r="C4">
        <v>-1</v>
      </c>
      <c r="D4">
        <v>1</v>
      </c>
      <c r="E4">
        <v>-1</v>
      </c>
      <c r="F4">
        <v>1</v>
      </c>
      <c r="G4">
        <v>-1</v>
      </c>
      <c r="H4">
        <v>1</v>
      </c>
      <c r="I4">
        <v>-1</v>
      </c>
      <c r="J4" t="s">
        <v>133</v>
      </c>
      <c r="K4" t="s">
        <v>56</v>
      </c>
    </row>
    <row r="5" spans="1:11" x14ac:dyDescent="0.35">
      <c r="A5" t="s">
        <v>134</v>
      </c>
      <c r="B5">
        <v>1</v>
      </c>
      <c r="C5">
        <v>-1</v>
      </c>
      <c r="D5">
        <v>-1</v>
      </c>
      <c r="E5">
        <v>1</v>
      </c>
      <c r="F5">
        <v>1</v>
      </c>
      <c r="G5">
        <v>-1</v>
      </c>
      <c r="H5">
        <v>-1</v>
      </c>
      <c r="I5">
        <v>1</v>
      </c>
      <c r="J5" t="s">
        <v>135</v>
      </c>
      <c r="K5" t="s">
        <v>57</v>
      </c>
    </row>
    <row r="6" spans="1:11" x14ac:dyDescent="0.35">
      <c r="A6" t="s">
        <v>12</v>
      </c>
      <c r="B6">
        <v>1</v>
      </c>
      <c r="C6">
        <v>1</v>
      </c>
      <c r="D6">
        <v>1</v>
      </c>
      <c r="E6">
        <v>1</v>
      </c>
      <c r="F6">
        <v>-1</v>
      </c>
      <c r="G6">
        <v>-1</v>
      </c>
      <c r="H6">
        <v>-1</v>
      </c>
      <c r="I6">
        <v>-1</v>
      </c>
    </row>
    <row r="7" spans="1:11" x14ac:dyDescent="0.35">
      <c r="A7" t="s">
        <v>136</v>
      </c>
      <c r="B7">
        <v>1</v>
      </c>
      <c r="C7">
        <v>1</v>
      </c>
      <c r="D7">
        <v>-1</v>
      </c>
      <c r="E7">
        <v>-1</v>
      </c>
      <c r="F7">
        <v>-1</v>
      </c>
      <c r="G7">
        <v>-1</v>
      </c>
      <c r="H7">
        <v>1</v>
      </c>
      <c r="I7">
        <v>1</v>
      </c>
      <c r="J7" t="s">
        <v>84</v>
      </c>
    </row>
    <row r="8" spans="1:11" x14ac:dyDescent="0.35">
      <c r="A8" t="s">
        <v>137</v>
      </c>
      <c r="B8">
        <v>1</v>
      </c>
      <c r="C8">
        <v>-1</v>
      </c>
      <c r="D8">
        <v>1</v>
      </c>
      <c r="E8">
        <v>-1</v>
      </c>
      <c r="F8">
        <v>-1</v>
      </c>
      <c r="G8">
        <v>1</v>
      </c>
      <c r="H8">
        <v>-1</v>
      </c>
      <c r="I8">
        <v>1</v>
      </c>
      <c r="J8" t="s">
        <v>129</v>
      </c>
    </row>
    <row r="9" spans="1:11" x14ac:dyDescent="0.35">
      <c r="A9" t="s">
        <v>138</v>
      </c>
      <c r="B9">
        <v>1</v>
      </c>
      <c r="C9">
        <v>-1</v>
      </c>
      <c r="D9">
        <v>-1</v>
      </c>
      <c r="E9">
        <v>1</v>
      </c>
      <c r="F9">
        <v>-1</v>
      </c>
      <c r="G9">
        <v>1</v>
      </c>
      <c r="H9">
        <v>1</v>
      </c>
      <c r="I9">
        <v>-1</v>
      </c>
      <c r="J9" t="s">
        <v>130</v>
      </c>
    </row>
  </sheetData>
  <pageMargins left="0.7" right="0.7" top="0.75" bottom="0.75" header="0.3" footer="0.3"/>
  <pageSetup orientation="portrait" horizontalDpi="1200" verticalDpi="1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98A2-752A-452A-B0B3-4057DA0BEE53}">
  <sheetPr codeName="Sheet28"/>
  <dimension ref="A1:I7"/>
  <sheetViews>
    <sheetView workbookViewId="0">
      <selection activeCell="G11" sqref="G11"/>
    </sheetView>
  </sheetViews>
  <sheetFormatPr defaultRowHeight="14.5" x14ac:dyDescent="0.35"/>
  <sheetData>
    <row r="1" spans="1:9" x14ac:dyDescent="0.35">
      <c r="B1" t="s">
        <v>0</v>
      </c>
      <c r="C1" t="s">
        <v>68</v>
      </c>
      <c r="D1" t="s">
        <v>69</v>
      </c>
      <c r="E1" t="s">
        <v>148</v>
      </c>
      <c r="F1" t="s">
        <v>143</v>
      </c>
      <c r="G1" t="s">
        <v>90</v>
      </c>
      <c r="H1" t="s">
        <v>4</v>
      </c>
      <c r="I1" t="s">
        <v>5</v>
      </c>
    </row>
    <row r="2" spans="1:9" x14ac:dyDescent="0.35">
      <c r="A2" t="s">
        <v>144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I2" t="s">
        <v>22</v>
      </c>
    </row>
    <row r="3" spans="1:9" x14ac:dyDescent="0.35">
      <c r="A3" t="s">
        <v>145</v>
      </c>
      <c r="B3">
        <v>1</v>
      </c>
      <c r="C3">
        <v>1</v>
      </c>
      <c r="D3">
        <v>-1</v>
      </c>
      <c r="E3">
        <v>1</v>
      </c>
      <c r="F3">
        <v>1</v>
      </c>
      <c r="G3">
        <v>-1</v>
      </c>
      <c r="H3" t="s">
        <v>85</v>
      </c>
    </row>
    <row r="4" spans="1:9" x14ac:dyDescent="0.35">
      <c r="A4" t="s">
        <v>103</v>
      </c>
      <c r="B4">
        <v>2</v>
      </c>
      <c r="C4">
        <v>-1</v>
      </c>
      <c r="D4">
        <v>0</v>
      </c>
      <c r="E4">
        <v>2</v>
      </c>
      <c r="F4">
        <v>-1</v>
      </c>
      <c r="G4">
        <v>0</v>
      </c>
      <c r="H4" t="s">
        <v>107</v>
      </c>
      <c r="I4" t="s">
        <v>35</v>
      </c>
    </row>
    <row r="5" spans="1:9" x14ac:dyDescent="0.35">
      <c r="A5" t="s">
        <v>146</v>
      </c>
      <c r="B5">
        <v>1</v>
      </c>
      <c r="C5">
        <v>1</v>
      </c>
      <c r="D5">
        <v>1</v>
      </c>
      <c r="E5">
        <v>-1</v>
      </c>
      <c r="F5">
        <v>-1</v>
      </c>
      <c r="G5">
        <v>-1</v>
      </c>
    </row>
    <row r="6" spans="1:9" x14ac:dyDescent="0.35">
      <c r="A6" t="s">
        <v>147</v>
      </c>
      <c r="B6">
        <v>1</v>
      </c>
      <c r="C6">
        <v>1</v>
      </c>
      <c r="D6">
        <v>-1</v>
      </c>
      <c r="E6">
        <v>-1</v>
      </c>
      <c r="F6">
        <v>-1</v>
      </c>
      <c r="G6">
        <v>1</v>
      </c>
      <c r="H6" t="s">
        <v>84</v>
      </c>
    </row>
    <row r="7" spans="1:9" x14ac:dyDescent="0.35">
      <c r="A7" t="s">
        <v>104</v>
      </c>
      <c r="B7">
        <v>2</v>
      </c>
      <c r="C7">
        <v>-1</v>
      </c>
      <c r="D7">
        <v>0</v>
      </c>
      <c r="E7">
        <v>-2</v>
      </c>
      <c r="F7">
        <v>1</v>
      </c>
      <c r="G7">
        <v>0</v>
      </c>
      <c r="H7" t="s">
        <v>108</v>
      </c>
      <c r="I7" t="s">
        <v>37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8CB5-855A-4070-80AE-D3E6712A3246}">
  <sheetPr codeName="Sheet29"/>
  <dimension ref="A1:M11"/>
  <sheetViews>
    <sheetView workbookViewId="0">
      <selection activeCell="L12" sqref="L12"/>
    </sheetView>
  </sheetViews>
  <sheetFormatPr defaultRowHeight="14.5" x14ac:dyDescent="0.35"/>
  <sheetData>
    <row r="1" spans="1:13" x14ac:dyDescent="0.35">
      <c r="B1" t="s">
        <v>0</v>
      </c>
      <c r="C1" t="s">
        <v>73</v>
      </c>
      <c r="D1" t="s">
        <v>15</v>
      </c>
      <c r="E1" t="s">
        <v>74</v>
      </c>
      <c r="F1" t="s">
        <v>75</v>
      </c>
      <c r="G1" t="s">
        <v>10</v>
      </c>
      <c r="H1" t="s">
        <v>149</v>
      </c>
      <c r="I1" t="s">
        <v>95</v>
      </c>
      <c r="J1" t="s">
        <v>92</v>
      </c>
      <c r="K1" t="s">
        <v>93</v>
      </c>
      <c r="L1" t="s">
        <v>4</v>
      </c>
      <c r="M1" t="s">
        <v>5</v>
      </c>
    </row>
    <row r="2" spans="1:13" x14ac:dyDescent="0.35">
      <c r="A2" t="s">
        <v>150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M2" t="s">
        <v>29</v>
      </c>
    </row>
    <row r="3" spans="1:13" x14ac:dyDescent="0.35">
      <c r="A3" t="s">
        <v>151</v>
      </c>
      <c r="B3">
        <v>1</v>
      </c>
      <c r="C3">
        <v>1</v>
      </c>
      <c r="D3">
        <v>1</v>
      </c>
      <c r="E3">
        <v>-1</v>
      </c>
      <c r="F3">
        <v>-1</v>
      </c>
      <c r="G3">
        <v>1</v>
      </c>
      <c r="H3">
        <v>1</v>
      </c>
      <c r="I3">
        <v>1</v>
      </c>
      <c r="J3">
        <v>-1</v>
      </c>
      <c r="K3">
        <v>-1</v>
      </c>
      <c r="L3" t="s">
        <v>85</v>
      </c>
    </row>
    <row r="4" spans="1:13" x14ac:dyDescent="0.35">
      <c r="A4" t="s">
        <v>131</v>
      </c>
      <c r="B4">
        <v>1</v>
      </c>
      <c r="C4">
        <v>-1</v>
      </c>
      <c r="D4">
        <v>1</v>
      </c>
      <c r="E4">
        <v>1</v>
      </c>
      <c r="F4">
        <v>-1</v>
      </c>
      <c r="G4">
        <v>1</v>
      </c>
      <c r="H4">
        <v>-1</v>
      </c>
      <c r="I4">
        <v>1</v>
      </c>
      <c r="J4">
        <v>1</v>
      </c>
      <c r="K4">
        <v>-1</v>
      </c>
      <c r="M4" t="s">
        <v>72</v>
      </c>
    </row>
    <row r="5" spans="1:13" x14ac:dyDescent="0.35">
      <c r="A5" t="s">
        <v>132</v>
      </c>
      <c r="B5">
        <v>1</v>
      </c>
      <c r="C5">
        <v>-1</v>
      </c>
      <c r="D5">
        <v>1</v>
      </c>
      <c r="E5">
        <v>-1</v>
      </c>
      <c r="F5">
        <v>1</v>
      </c>
      <c r="G5">
        <v>1</v>
      </c>
      <c r="H5">
        <v>-1</v>
      </c>
      <c r="I5">
        <v>1</v>
      </c>
      <c r="J5">
        <v>-1</v>
      </c>
      <c r="K5">
        <v>1</v>
      </c>
      <c r="M5" t="s">
        <v>55</v>
      </c>
    </row>
    <row r="6" spans="1:13" x14ac:dyDescent="0.35">
      <c r="A6" t="s">
        <v>110</v>
      </c>
      <c r="B6">
        <v>2</v>
      </c>
      <c r="C6">
        <v>0</v>
      </c>
      <c r="D6">
        <v>-2</v>
      </c>
      <c r="E6">
        <v>0</v>
      </c>
      <c r="F6">
        <v>0</v>
      </c>
      <c r="G6">
        <v>2</v>
      </c>
      <c r="H6">
        <v>0</v>
      </c>
      <c r="I6">
        <v>-2</v>
      </c>
      <c r="J6">
        <v>0</v>
      </c>
      <c r="K6">
        <v>0</v>
      </c>
      <c r="L6" t="s">
        <v>108</v>
      </c>
      <c r="M6" t="s">
        <v>37</v>
      </c>
    </row>
    <row r="7" spans="1:13" x14ac:dyDescent="0.35">
      <c r="A7" t="s">
        <v>152</v>
      </c>
      <c r="B7">
        <v>1</v>
      </c>
      <c r="C7">
        <v>1</v>
      </c>
      <c r="D7">
        <v>1</v>
      </c>
      <c r="E7">
        <v>1</v>
      </c>
      <c r="F7">
        <v>1</v>
      </c>
      <c r="G7">
        <v>-1</v>
      </c>
      <c r="H7">
        <v>-1</v>
      </c>
      <c r="I7">
        <v>-1</v>
      </c>
      <c r="J7">
        <v>-1</v>
      </c>
      <c r="K7">
        <v>-1</v>
      </c>
    </row>
    <row r="8" spans="1:13" x14ac:dyDescent="0.35">
      <c r="A8" t="s">
        <v>153</v>
      </c>
      <c r="B8">
        <v>1</v>
      </c>
      <c r="C8">
        <v>1</v>
      </c>
      <c r="D8">
        <v>1</v>
      </c>
      <c r="E8">
        <v>-1</v>
      </c>
      <c r="F8">
        <v>-1</v>
      </c>
      <c r="G8">
        <v>-1</v>
      </c>
      <c r="H8">
        <v>-1</v>
      </c>
      <c r="I8">
        <v>-1</v>
      </c>
      <c r="J8">
        <v>1</v>
      </c>
      <c r="K8">
        <v>1</v>
      </c>
      <c r="L8" t="s">
        <v>84</v>
      </c>
    </row>
    <row r="9" spans="1:13" x14ac:dyDescent="0.35">
      <c r="A9" t="s">
        <v>136</v>
      </c>
      <c r="B9">
        <v>1</v>
      </c>
      <c r="C9">
        <v>-1</v>
      </c>
      <c r="D9">
        <v>1</v>
      </c>
      <c r="E9">
        <v>1</v>
      </c>
      <c r="F9">
        <v>-1</v>
      </c>
      <c r="G9">
        <v>-1</v>
      </c>
      <c r="H9">
        <v>1</v>
      </c>
      <c r="I9">
        <v>-1</v>
      </c>
      <c r="J9">
        <v>-1</v>
      </c>
      <c r="K9">
        <v>1</v>
      </c>
    </row>
    <row r="10" spans="1:13" x14ac:dyDescent="0.35">
      <c r="A10" t="s">
        <v>137</v>
      </c>
      <c r="B10">
        <v>1</v>
      </c>
      <c r="C10">
        <v>-1</v>
      </c>
      <c r="D10">
        <v>1</v>
      </c>
      <c r="E10">
        <v>-1</v>
      </c>
      <c r="F10">
        <v>1</v>
      </c>
      <c r="G10">
        <v>-1</v>
      </c>
      <c r="H10">
        <v>1</v>
      </c>
      <c r="I10">
        <v>-1</v>
      </c>
      <c r="J10">
        <v>1</v>
      </c>
      <c r="K10">
        <v>-1</v>
      </c>
    </row>
    <row r="11" spans="1:13" x14ac:dyDescent="0.35">
      <c r="A11" t="s">
        <v>111</v>
      </c>
      <c r="B11">
        <v>2</v>
      </c>
      <c r="C11">
        <v>0</v>
      </c>
      <c r="D11">
        <v>-2</v>
      </c>
      <c r="E11">
        <v>0</v>
      </c>
      <c r="F11">
        <v>0</v>
      </c>
      <c r="G11">
        <v>-2</v>
      </c>
      <c r="H11">
        <v>0</v>
      </c>
      <c r="I11">
        <v>2</v>
      </c>
      <c r="J11">
        <v>0</v>
      </c>
      <c r="K11">
        <v>0</v>
      </c>
      <c r="L11" t="s">
        <v>107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6677-D43C-49C5-B6F3-01AAC7A3DEDC}">
  <sheetPr codeName="Sheet30"/>
  <dimension ref="A1:K9"/>
  <sheetViews>
    <sheetView workbookViewId="0">
      <selection activeCell="H10" sqref="H10"/>
    </sheetView>
  </sheetViews>
  <sheetFormatPr defaultRowHeight="14.5" x14ac:dyDescent="0.35"/>
  <sheetData>
    <row r="1" spans="1:11" x14ac:dyDescent="0.35">
      <c r="B1" t="s">
        <v>0</v>
      </c>
      <c r="C1" t="s">
        <v>154</v>
      </c>
      <c r="D1" t="s">
        <v>77</v>
      </c>
      <c r="E1" t="s">
        <v>78</v>
      </c>
      <c r="F1" t="s">
        <v>95</v>
      </c>
      <c r="G1" t="s">
        <v>155</v>
      </c>
      <c r="H1" t="s">
        <v>156</v>
      </c>
      <c r="I1" t="s">
        <v>94</v>
      </c>
      <c r="J1" t="s">
        <v>4</v>
      </c>
      <c r="K1" t="s">
        <v>5</v>
      </c>
    </row>
    <row r="2" spans="1:11" x14ac:dyDescent="0.35">
      <c r="A2" t="s">
        <v>144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K2" t="s">
        <v>22</v>
      </c>
    </row>
    <row r="3" spans="1:11" x14ac:dyDescent="0.35">
      <c r="A3" t="s">
        <v>145</v>
      </c>
      <c r="B3">
        <v>1</v>
      </c>
      <c r="C3">
        <v>1</v>
      </c>
      <c r="D3">
        <v>1</v>
      </c>
      <c r="E3">
        <v>-1</v>
      </c>
      <c r="F3">
        <v>1</v>
      </c>
      <c r="G3">
        <v>1</v>
      </c>
      <c r="H3">
        <v>1</v>
      </c>
      <c r="I3">
        <v>-1</v>
      </c>
      <c r="J3" t="s">
        <v>85</v>
      </c>
    </row>
    <row r="4" spans="1:11" x14ac:dyDescent="0.35">
      <c r="A4" t="s">
        <v>115</v>
      </c>
      <c r="B4">
        <v>2</v>
      </c>
      <c r="C4">
        <f>2*COS(2*PI()/5)</f>
        <v>0.6180339887498949</v>
      </c>
      <c r="D4">
        <f>2*COS(4*PI()/5)</f>
        <v>-1.6180339887498947</v>
      </c>
      <c r="E4">
        <v>0</v>
      </c>
      <c r="F4">
        <v>2</v>
      </c>
      <c r="G4">
        <f>2*COS(2*PI()/5)</f>
        <v>0.6180339887498949</v>
      </c>
      <c r="H4">
        <f>2*COS(4*PI()/5)</f>
        <v>-1.6180339887498947</v>
      </c>
      <c r="I4">
        <v>0</v>
      </c>
      <c r="J4" t="s">
        <v>107</v>
      </c>
    </row>
    <row r="5" spans="1:11" x14ac:dyDescent="0.35">
      <c r="A5" t="s">
        <v>116</v>
      </c>
      <c r="B5">
        <v>2</v>
      </c>
      <c r="C5">
        <f>2*COS(4*PI()/5)</f>
        <v>-1.6180339887498947</v>
      </c>
      <c r="D5">
        <f>2*COS(2*PI()/5)</f>
        <v>0.6180339887498949</v>
      </c>
      <c r="E5">
        <v>0</v>
      </c>
      <c r="F5">
        <v>2</v>
      </c>
      <c r="G5">
        <f>2*COS(4*PI()/5)</f>
        <v>-1.6180339887498947</v>
      </c>
      <c r="H5">
        <f>2*COS(2*PI()/5)</f>
        <v>0.6180339887498949</v>
      </c>
      <c r="I5">
        <v>0</v>
      </c>
      <c r="K5" t="s">
        <v>35</v>
      </c>
    </row>
    <row r="6" spans="1:11" x14ac:dyDescent="0.35">
      <c r="A6" t="s">
        <v>146</v>
      </c>
      <c r="B6">
        <v>1</v>
      </c>
      <c r="C6">
        <v>1</v>
      </c>
      <c r="D6">
        <v>1</v>
      </c>
      <c r="E6">
        <v>1</v>
      </c>
      <c r="F6">
        <v>-1</v>
      </c>
      <c r="G6">
        <v>-1</v>
      </c>
      <c r="H6">
        <v>-1</v>
      </c>
      <c r="I6">
        <v>-1</v>
      </c>
    </row>
    <row r="7" spans="1:11" x14ac:dyDescent="0.35">
      <c r="A7" t="s">
        <v>147</v>
      </c>
      <c r="B7">
        <v>1</v>
      </c>
      <c r="C7">
        <v>1</v>
      </c>
      <c r="D7">
        <v>1</v>
      </c>
      <c r="E7">
        <v>-1</v>
      </c>
      <c r="F7">
        <v>-1</v>
      </c>
      <c r="G7">
        <v>-1</v>
      </c>
      <c r="H7">
        <v>-1</v>
      </c>
      <c r="I7">
        <v>1</v>
      </c>
      <c r="J7" t="s">
        <v>84</v>
      </c>
    </row>
    <row r="8" spans="1:11" x14ac:dyDescent="0.35">
      <c r="A8" t="s">
        <v>117</v>
      </c>
      <c r="B8">
        <v>2</v>
      </c>
      <c r="C8">
        <f>2*COS(2*PI()/5)</f>
        <v>0.6180339887498949</v>
      </c>
      <c r="D8">
        <f>2*COS(4*PI()/5)</f>
        <v>-1.6180339887498947</v>
      </c>
      <c r="E8">
        <v>0</v>
      </c>
      <c r="F8">
        <v>-2</v>
      </c>
      <c r="G8">
        <f>-2*COS(2*PI()/5)</f>
        <v>-0.6180339887498949</v>
      </c>
      <c r="H8">
        <f>-2*COS(4*PI()/5)</f>
        <v>1.6180339887498947</v>
      </c>
      <c r="I8">
        <v>0</v>
      </c>
      <c r="J8" t="s">
        <v>108</v>
      </c>
      <c r="K8" t="s">
        <v>37</v>
      </c>
    </row>
    <row r="9" spans="1:11" x14ac:dyDescent="0.35">
      <c r="A9" t="s">
        <v>118</v>
      </c>
      <c r="B9">
        <v>2</v>
      </c>
      <c r="C9">
        <f>2*COS(4*PI()/5)</f>
        <v>-1.6180339887498947</v>
      </c>
      <c r="D9">
        <f>2*COS(2*PI()/5)</f>
        <v>0.6180339887498949</v>
      </c>
      <c r="E9">
        <v>0</v>
      </c>
      <c r="F9">
        <v>-2</v>
      </c>
      <c r="G9">
        <f>-2*COS(4*PI()/5)</f>
        <v>1.6180339887498947</v>
      </c>
      <c r="H9">
        <f>-2*COS(2*PI()/5)</f>
        <v>-0.6180339887498949</v>
      </c>
      <c r="I9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578C1-3815-419C-9893-7006E38ED7F3}">
  <sheetPr codeName="Sheet31"/>
  <dimension ref="A1:O13"/>
  <sheetViews>
    <sheetView zoomScale="99" workbookViewId="0">
      <selection activeCell="O3" sqref="O3"/>
    </sheetView>
  </sheetViews>
  <sheetFormatPr defaultRowHeight="14.5" x14ac:dyDescent="0.35"/>
  <sheetData>
    <row r="1" spans="1:15" x14ac:dyDescent="0.35">
      <c r="B1" t="s">
        <v>0</v>
      </c>
      <c r="C1" t="s">
        <v>82</v>
      </c>
      <c r="D1" t="s">
        <v>157</v>
      </c>
      <c r="E1" t="s">
        <v>15</v>
      </c>
      <c r="F1" t="s">
        <v>69</v>
      </c>
      <c r="G1" t="s">
        <v>83</v>
      </c>
      <c r="H1" t="s">
        <v>10</v>
      </c>
      <c r="I1" t="s">
        <v>143</v>
      </c>
      <c r="J1" t="s">
        <v>158</v>
      </c>
      <c r="K1" t="s">
        <v>148</v>
      </c>
      <c r="L1" t="s">
        <v>96</v>
      </c>
      <c r="M1" t="s">
        <v>90</v>
      </c>
      <c r="N1" t="s">
        <v>4</v>
      </c>
      <c r="O1" t="s">
        <v>5</v>
      </c>
    </row>
    <row r="2" spans="1:15" x14ac:dyDescent="0.35">
      <c r="A2" t="s">
        <v>150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O2" t="s">
        <v>22</v>
      </c>
    </row>
    <row r="3" spans="1:15" x14ac:dyDescent="0.35">
      <c r="A3" t="s">
        <v>151</v>
      </c>
      <c r="B3">
        <v>1</v>
      </c>
      <c r="C3">
        <v>1</v>
      </c>
      <c r="D3">
        <v>1</v>
      </c>
      <c r="E3">
        <v>1</v>
      </c>
      <c r="F3">
        <v>-1</v>
      </c>
      <c r="G3">
        <v>-1</v>
      </c>
      <c r="H3">
        <v>1</v>
      </c>
      <c r="I3">
        <v>1</v>
      </c>
      <c r="J3">
        <v>1</v>
      </c>
      <c r="K3">
        <v>1</v>
      </c>
      <c r="L3">
        <v>-1</v>
      </c>
      <c r="M3">
        <v>-1</v>
      </c>
      <c r="N3" t="s">
        <v>85</v>
      </c>
    </row>
    <row r="4" spans="1:15" x14ac:dyDescent="0.35">
      <c r="A4" t="s">
        <v>131</v>
      </c>
      <c r="B4">
        <v>1</v>
      </c>
      <c r="C4">
        <v>-1</v>
      </c>
      <c r="D4">
        <v>1</v>
      </c>
      <c r="E4">
        <v>-1</v>
      </c>
      <c r="F4">
        <v>1</v>
      </c>
      <c r="G4">
        <v>-1</v>
      </c>
      <c r="H4">
        <v>1</v>
      </c>
      <c r="I4">
        <v>-1</v>
      </c>
      <c r="J4">
        <v>1</v>
      </c>
      <c r="K4">
        <v>-1</v>
      </c>
      <c r="L4">
        <v>1</v>
      </c>
      <c r="M4">
        <v>-1</v>
      </c>
    </row>
    <row r="5" spans="1:15" x14ac:dyDescent="0.35">
      <c r="A5" t="s">
        <v>132</v>
      </c>
      <c r="B5">
        <v>1</v>
      </c>
      <c r="C5">
        <v>-1</v>
      </c>
      <c r="D5">
        <v>1</v>
      </c>
      <c r="E5">
        <v>-1</v>
      </c>
      <c r="F5">
        <v>-1</v>
      </c>
      <c r="G5">
        <v>1</v>
      </c>
      <c r="H5">
        <v>1</v>
      </c>
      <c r="I5">
        <v>-1</v>
      </c>
      <c r="J5">
        <v>1</v>
      </c>
      <c r="K5">
        <v>-1</v>
      </c>
      <c r="L5">
        <v>-1</v>
      </c>
      <c r="M5">
        <v>1</v>
      </c>
    </row>
    <row r="6" spans="1:15" x14ac:dyDescent="0.35">
      <c r="A6" t="s">
        <v>123</v>
      </c>
      <c r="B6">
        <v>2</v>
      </c>
      <c r="C6">
        <v>1</v>
      </c>
      <c r="D6">
        <v>-1</v>
      </c>
      <c r="E6">
        <v>-2</v>
      </c>
      <c r="F6">
        <v>0</v>
      </c>
      <c r="G6">
        <v>0</v>
      </c>
      <c r="H6">
        <v>2</v>
      </c>
      <c r="I6">
        <v>1</v>
      </c>
      <c r="J6">
        <v>-1</v>
      </c>
      <c r="K6">
        <v>-2</v>
      </c>
      <c r="L6">
        <v>0</v>
      </c>
      <c r="M6">
        <v>0</v>
      </c>
      <c r="N6" t="s">
        <v>108</v>
      </c>
      <c r="O6" t="s">
        <v>37</v>
      </c>
    </row>
    <row r="7" spans="1:15" x14ac:dyDescent="0.35">
      <c r="A7" t="s">
        <v>124</v>
      </c>
      <c r="B7">
        <v>2</v>
      </c>
      <c r="C7">
        <v>-1</v>
      </c>
      <c r="D7">
        <v>-1</v>
      </c>
      <c r="E7">
        <v>2</v>
      </c>
      <c r="F7">
        <v>0</v>
      </c>
      <c r="G7">
        <v>0</v>
      </c>
      <c r="H7">
        <v>2</v>
      </c>
      <c r="I7">
        <v>-1</v>
      </c>
      <c r="J7">
        <v>-1</v>
      </c>
      <c r="K7">
        <v>2</v>
      </c>
      <c r="L7">
        <v>0</v>
      </c>
      <c r="M7">
        <v>0</v>
      </c>
      <c r="O7" t="s">
        <v>35</v>
      </c>
    </row>
    <row r="8" spans="1:15" x14ac:dyDescent="0.35">
      <c r="A8" t="s">
        <v>152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-1</v>
      </c>
      <c r="I8">
        <v>-1</v>
      </c>
      <c r="J8">
        <v>-1</v>
      </c>
      <c r="K8">
        <v>-1</v>
      </c>
      <c r="L8">
        <v>-1</v>
      </c>
      <c r="M8">
        <v>-1</v>
      </c>
    </row>
    <row r="9" spans="1:15" x14ac:dyDescent="0.35">
      <c r="A9" t="s">
        <v>153</v>
      </c>
      <c r="B9">
        <v>1</v>
      </c>
      <c r="C9">
        <v>1</v>
      </c>
      <c r="D9">
        <v>1</v>
      </c>
      <c r="E9">
        <v>1</v>
      </c>
      <c r="F9">
        <v>-1</v>
      </c>
      <c r="G9">
        <v>-1</v>
      </c>
      <c r="H9">
        <v>-1</v>
      </c>
      <c r="I9">
        <v>-1</v>
      </c>
      <c r="J9">
        <v>-1</v>
      </c>
      <c r="K9">
        <v>-1</v>
      </c>
      <c r="L9">
        <v>1</v>
      </c>
      <c r="M9">
        <v>1</v>
      </c>
      <c r="N9" t="s">
        <v>84</v>
      </c>
    </row>
    <row r="10" spans="1:15" x14ac:dyDescent="0.35">
      <c r="A10" t="s">
        <v>136</v>
      </c>
      <c r="B10">
        <v>1</v>
      </c>
      <c r="C10">
        <v>-1</v>
      </c>
      <c r="D10">
        <v>1</v>
      </c>
      <c r="E10">
        <v>-1</v>
      </c>
      <c r="F10">
        <v>1</v>
      </c>
      <c r="G10">
        <v>-1</v>
      </c>
      <c r="H10">
        <v>-1</v>
      </c>
      <c r="I10">
        <v>1</v>
      </c>
      <c r="J10">
        <v>-1</v>
      </c>
      <c r="K10">
        <v>1</v>
      </c>
      <c r="L10">
        <v>-1</v>
      </c>
      <c r="M10">
        <v>1</v>
      </c>
    </row>
    <row r="11" spans="1:15" x14ac:dyDescent="0.35">
      <c r="A11" t="s">
        <v>137</v>
      </c>
      <c r="B11">
        <v>1</v>
      </c>
      <c r="C11">
        <v>-1</v>
      </c>
      <c r="D11">
        <v>1</v>
      </c>
      <c r="E11">
        <v>-1</v>
      </c>
      <c r="F11">
        <v>-1</v>
      </c>
      <c r="G11">
        <v>1</v>
      </c>
      <c r="H11">
        <v>-1</v>
      </c>
      <c r="I11">
        <v>1</v>
      </c>
      <c r="J11">
        <v>-1</v>
      </c>
      <c r="K11">
        <v>1</v>
      </c>
      <c r="L11">
        <v>1</v>
      </c>
      <c r="M11">
        <v>-1</v>
      </c>
    </row>
    <row r="12" spans="1:15" x14ac:dyDescent="0.35">
      <c r="A12" t="s">
        <v>125</v>
      </c>
      <c r="B12">
        <v>2</v>
      </c>
      <c r="C12">
        <v>1</v>
      </c>
      <c r="D12">
        <v>-1</v>
      </c>
      <c r="E12">
        <v>-2</v>
      </c>
      <c r="F12">
        <v>0</v>
      </c>
      <c r="G12">
        <v>0</v>
      </c>
      <c r="H12">
        <v>-2</v>
      </c>
      <c r="I12">
        <v>-1</v>
      </c>
      <c r="J12">
        <v>1</v>
      </c>
      <c r="K12">
        <v>2</v>
      </c>
      <c r="L12">
        <v>0</v>
      </c>
      <c r="M12">
        <v>0</v>
      </c>
      <c r="N12" t="s">
        <v>107</v>
      </c>
    </row>
    <row r="13" spans="1:15" x14ac:dyDescent="0.35">
      <c r="A13" t="s">
        <v>126</v>
      </c>
      <c r="B13">
        <v>2</v>
      </c>
      <c r="C13">
        <v>-1</v>
      </c>
      <c r="D13">
        <v>-1</v>
      </c>
      <c r="E13">
        <v>2</v>
      </c>
      <c r="F13">
        <v>0</v>
      </c>
      <c r="G13">
        <v>0</v>
      </c>
      <c r="H13">
        <v>-2</v>
      </c>
      <c r="I13">
        <v>1</v>
      </c>
      <c r="J13">
        <v>1</v>
      </c>
      <c r="K13">
        <v>-2</v>
      </c>
      <c r="L13">
        <v>0</v>
      </c>
      <c r="M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00FF0-9884-4007-B6BC-A22B0B80D1F9}">
  <sheetPr codeName="Sheet32"/>
  <dimension ref="A1:Q15"/>
  <sheetViews>
    <sheetView zoomScale="88" workbookViewId="0">
      <selection activeCell="D16" sqref="D16"/>
    </sheetView>
  </sheetViews>
  <sheetFormatPr defaultRowHeight="14.5" x14ac:dyDescent="0.35"/>
  <sheetData>
    <row r="1" spans="1:17" x14ac:dyDescent="0.35">
      <c r="B1" t="s">
        <v>0</v>
      </c>
      <c r="C1" t="s">
        <v>159</v>
      </c>
      <c r="D1" t="s">
        <v>167</v>
      </c>
      <c r="E1" t="s">
        <v>160</v>
      </c>
      <c r="F1" t="s">
        <v>64</v>
      </c>
      <c r="G1" t="s">
        <v>168</v>
      </c>
      <c r="H1" t="s">
        <v>169</v>
      </c>
      <c r="I1" t="s">
        <v>10</v>
      </c>
      <c r="J1" t="s">
        <v>162</v>
      </c>
      <c r="K1" t="s">
        <v>170</v>
      </c>
      <c r="L1" t="s">
        <v>149</v>
      </c>
      <c r="M1" t="s">
        <v>95</v>
      </c>
      <c r="N1" t="s">
        <v>163</v>
      </c>
      <c r="O1" t="s">
        <v>164</v>
      </c>
      <c r="P1" t="s">
        <v>4</v>
      </c>
      <c r="Q1" t="s">
        <v>5</v>
      </c>
    </row>
    <row r="2" spans="1:17" x14ac:dyDescent="0.35">
      <c r="A2" t="s">
        <v>150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Q2" t="s">
        <v>22</v>
      </c>
    </row>
    <row r="3" spans="1:17" x14ac:dyDescent="0.35">
      <c r="A3" t="s">
        <v>151</v>
      </c>
      <c r="B3">
        <v>1</v>
      </c>
      <c r="C3">
        <v>1</v>
      </c>
      <c r="D3">
        <v>1</v>
      </c>
      <c r="E3">
        <v>1</v>
      </c>
      <c r="F3">
        <v>1</v>
      </c>
      <c r="G3">
        <v>-1</v>
      </c>
      <c r="H3">
        <v>-1</v>
      </c>
      <c r="I3">
        <v>1</v>
      </c>
      <c r="J3">
        <v>1</v>
      </c>
      <c r="K3">
        <v>1</v>
      </c>
      <c r="L3">
        <v>1</v>
      </c>
      <c r="M3">
        <v>1</v>
      </c>
      <c r="N3">
        <v>-1</v>
      </c>
      <c r="O3">
        <v>-1</v>
      </c>
      <c r="P3" t="s">
        <v>85</v>
      </c>
    </row>
    <row r="4" spans="1:17" x14ac:dyDescent="0.35">
      <c r="A4" t="s">
        <v>131</v>
      </c>
      <c r="B4">
        <v>1</v>
      </c>
      <c r="C4">
        <v>-1</v>
      </c>
      <c r="D4">
        <v>-1</v>
      </c>
      <c r="E4">
        <v>1</v>
      </c>
      <c r="F4">
        <v>1</v>
      </c>
      <c r="G4">
        <v>1</v>
      </c>
      <c r="H4">
        <v>-1</v>
      </c>
      <c r="I4">
        <v>1</v>
      </c>
      <c r="J4">
        <v>-1</v>
      </c>
      <c r="K4">
        <v>-1</v>
      </c>
      <c r="L4">
        <v>1</v>
      </c>
      <c r="M4">
        <v>1</v>
      </c>
      <c r="N4">
        <v>1</v>
      </c>
      <c r="O4">
        <v>-1</v>
      </c>
    </row>
    <row r="5" spans="1:17" x14ac:dyDescent="0.35">
      <c r="A5" t="s">
        <v>132</v>
      </c>
      <c r="B5">
        <v>1</v>
      </c>
      <c r="C5">
        <v>-1</v>
      </c>
      <c r="D5">
        <v>-1</v>
      </c>
      <c r="E5">
        <v>1</v>
      </c>
      <c r="F5">
        <v>1</v>
      </c>
      <c r="G5">
        <v>-1</v>
      </c>
      <c r="H5">
        <v>1</v>
      </c>
      <c r="I5">
        <v>1</v>
      </c>
      <c r="J5">
        <v>-1</v>
      </c>
      <c r="K5">
        <v>-1</v>
      </c>
      <c r="L5">
        <v>1</v>
      </c>
      <c r="M5">
        <v>1</v>
      </c>
      <c r="N5">
        <v>-1</v>
      </c>
      <c r="O5">
        <v>1</v>
      </c>
    </row>
    <row r="6" spans="1:17" x14ac:dyDescent="0.35">
      <c r="A6" t="s">
        <v>123</v>
      </c>
      <c r="B6">
        <v>2</v>
      </c>
      <c r="C6">
        <f>SQRT(2)</f>
        <v>1.4142135623730951</v>
      </c>
      <c r="D6">
        <f>-SQRT(2)</f>
        <v>-1.4142135623730951</v>
      </c>
      <c r="E6">
        <v>0</v>
      </c>
      <c r="F6">
        <v>-2</v>
      </c>
      <c r="G6">
        <v>0</v>
      </c>
      <c r="H6">
        <v>0</v>
      </c>
      <c r="I6">
        <v>2</v>
      </c>
      <c r="J6">
        <f>SQRT(2)</f>
        <v>1.4142135623730951</v>
      </c>
      <c r="K6">
        <f>-SQRT(2)</f>
        <v>-1.4142135623730951</v>
      </c>
      <c r="L6">
        <v>0</v>
      </c>
      <c r="M6">
        <v>-2</v>
      </c>
      <c r="N6">
        <v>0</v>
      </c>
      <c r="O6">
        <v>0</v>
      </c>
      <c r="P6" t="s">
        <v>108</v>
      </c>
      <c r="Q6" t="s">
        <v>37</v>
      </c>
    </row>
    <row r="7" spans="1:17" x14ac:dyDescent="0.35">
      <c r="A7" t="s">
        <v>124</v>
      </c>
      <c r="B7">
        <v>2</v>
      </c>
      <c r="C7">
        <v>0</v>
      </c>
      <c r="D7">
        <v>0</v>
      </c>
      <c r="E7">
        <v>-2</v>
      </c>
      <c r="F7">
        <v>2</v>
      </c>
      <c r="G7">
        <v>0</v>
      </c>
      <c r="H7">
        <v>0</v>
      </c>
      <c r="I7">
        <v>2</v>
      </c>
      <c r="J7">
        <v>0</v>
      </c>
      <c r="K7">
        <v>0</v>
      </c>
      <c r="L7">
        <v>-2</v>
      </c>
      <c r="M7">
        <v>2</v>
      </c>
      <c r="N7">
        <v>0</v>
      </c>
      <c r="O7">
        <v>0</v>
      </c>
      <c r="Q7" t="s">
        <v>35</v>
      </c>
    </row>
    <row r="8" spans="1:17" x14ac:dyDescent="0.35">
      <c r="A8" t="s">
        <v>165</v>
      </c>
      <c r="B8">
        <v>2</v>
      </c>
      <c r="C8">
        <f>-SQRT(2)</f>
        <v>-1.4142135623730951</v>
      </c>
      <c r="D8">
        <f>SQRT(2)</f>
        <v>1.4142135623730951</v>
      </c>
      <c r="E8">
        <v>0</v>
      </c>
      <c r="F8">
        <v>-2</v>
      </c>
      <c r="G8">
        <v>0</v>
      </c>
      <c r="H8">
        <v>0</v>
      </c>
      <c r="I8">
        <v>2</v>
      </c>
      <c r="J8">
        <f>-SQRT(2)</f>
        <v>-1.4142135623730951</v>
      </c>
      <c r="K8">
        <f>SQRT(2)</f>
        <v>1.4142135623730951</v>
      </c>
      <c r="L8">
        <v>0</v>
      </c>
      <c r="M8">
        <v>-2</v>
      </c>
      <c r="N8">
        <v>0</v>
      </c>
      <c r="O8">
        <v>0</v>
      </c>
    </row>
    <row r="9" spans="1:17" x14ac:dyDescent="0.35">
      <c r="A9" t="s">
        <v>152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-1</v>
      </c>
      <c r="J9">
        <v>-1</v>
      </c>
      <c r="K9">
        <v>-1</v>
      </c>
      <c r="L9">
        <v>-1</v>
      </c>
      <c r="M9">
        <v>-1</v>
      </c>
      <c r="N9">
        <v>-1</v>
      </c>
      <c r="O9">
        <v>-1</v>
      </c>
    </row>
    <row r="10" spans="1:17" x14ac:dyDescent="0.35">
      <c r="A10" t="s">
        <v>153</v>
      </c>
      <c r="B10">
        <v>1</v>
      </c>
      <c r="C10">
        <v>1</v>
      </c>
      <c r="D10">
        <v>1</v>
      </c>
      <c r="E10">
        <v>1</v>
      </c>
      <c r="F10">
        <v>1</v>
      </c>
      <c r="G10">
        <v>-1</v>
      </c>
      <c r="H10">
        <v>-1</v>
      </c>
      <c r="I10">
        <v>-1</v>
      </c>
      <c r="J10">
        <v>-1</v>
      </c>
      <c r="K10">
        <v>-1</v>
      </c>
      <c r="L10">
        <v>-1</v>
      </c>
      <c r="M10">
        <v>-1</v>
      </c>
      <c r="N10">
        <v>1</v>
      </c>
      <c r="O10">
        <v>1</v>
      </c>
      <c r="P10" t="s">
        <v>84</v>
      </c>
    </row>
    <row r="11" spans="1:17" x14ac:dyDescent="0.35">
      <c r="A11" t="s">
        <v>136</v>
      </c>
      <c r="B11">
        <v>1</v>
      </c>
      <c r="C11">
        <v>-1</v>
      </c>
      <c r="D11">
        <v>-1</v>
      </c>
      <c r="E11">
        <v>1</v>
      </c>
      <c r="F11">
        <v>1</v>
      </c>
      <c r="G11">
        <v>1</v>
      </c>
      <c r="H11">
        <v>-1</v>
      </c>
      <c r="I11">
        <v>-1</v>
      </c>
      <c r="J11">
        <v>1</v>
      </c>
      <c r="K11">
        <v>1</v>
      </c>
      <c r="L11">
        <v>-1</v>
      </c>
      <c r="M11">
        <v>-1</v>
      </c>
      <c r="N11">
        <v>-1</v>
      </c>
      <c r="O11">
        <v>1</v>
      </c>
    </row>
    <row r="12" spans="1:17" x14ac:dyDescent="0.35">
      <c r="A12" t="s">
        <v>137</v>
      </c>
      <c r="B12">
        <v>1</v>
      </c>
      <c r="C12">
        <v>-1</v>
      </c>
      <c r="D12">
        <v>-1</v>
      </c>
      <c r="E12">
        <v>1</v>
      </c>
      <c r="F12">
        <v>1</v>
      </c>
      <c r="G12">
        <v>-1</v>
      </c>
      <c r="H12">
        <v>1</v>
      </c>
      <c r="I12">
        <v>-1</v>
      </c>
      <c r="J12">
        <v>1</v>
      </c>
      <c r="K12">
        <v>1</v>
      </c>
      <c r="L12">
        <v>-1</v>
      </c>
      <c r="M12">
        <v>-1</v>
      </c>
      <c r="N12">
        <v>1</v>
      </c>
      <c r="O12">
        <v>-1</v>
      </c>
    </row>
    <row r="13" spans="1:17" x14ac:dyDescent="0.35">
      <c r="A13" t="s">
        <v>125</v>
      </c>
      <c r="B13">
        <v>2</v>
      </c>
      <c r="C13">
        <f>SQRT(2)</f>
        <v>1.4142135623730951</v>
      </c>
      <c r="D13">
        <f>-SQRT(2)</f>
        <v>-1.4142135623730951</v>
      </c>
      <c r="E13">
        <v>0</v>
      </c>
      <c r="F13">
        <v>-2</v>
      </c>
      <c r="G13">
        <v>0</v>
      </c>
      <c r="H13">
        <v>0</v>
      </c>
      <c r="I13">
        <v>-2</v>
      </c>
      <c r="J13">
        <f>-SQRT(2)</f>
        <v>-1.4142135623730951</v>
      </c>
      <c r="K13">
        <f>SQRT(2)</f>
        <v>1.4142135623730951</v>
      </c>
      <c r="L13">
        <v>0</v>
      </c>
      <c r="M13">
        <v>2</v>
      </c>
      <c r="N13">
        <v>0</v>
      </c>
      <c r="O13">
        <v>0</v>
      </c>
      <c r="P13" t="s">
        <v>107</v>
      </c>
    </row>
    <row r="14" spans="1:17" x14ac:dyDescent="0.35">
      <c r="A14" t="s">
        <v>126</v>
      </c>
      <c r="B14">
        <v>2</v>
      </c>
      <c r="C14">
        <v>0</v>
      </c>
      <c r="D14">
        <v>0</v>
      </c>
      <c r="E14">
        <v>-2</v>
      </c>
      <c r="F14">
        <v>2</v>
      </c>
      <c r="G14">
        <v>0</v>
      </c>
      <c r="H14">
        <v>0</v>
      </c>
      <c r="I14">
        <v>-2</v>
      </c>
      <c r="J14">
        <v>0</v>
      </c>
      <c r="K14">
        <v>0</v>
      </c>
      <c r="L14">
        <v>2</v>
      </c>
      <c r="M14">
        <v>-2</v>
      </c>
      <c r="N14">
        <v>0</v>
      </c>
      <c r="O14">
        <v>0</v>
      </c>
    </row>
    <row r="15" spans="1:17" x14ac:dyDescent="0.35">
      <c r="A15" t="s">
        <v>166</v>
      </c>
      <c r="B15">
        <v>2</v>
      </c>
      <c r="C15">
        <f>-SQRT(2)</f>
        <v>-1.4142135623730951</v>
      </c>
      <c r="D15">
        <f>SQRT(2)</f>
        <v>1.4142135623730951</v>
      </c>
      <c r="E15">
        <v>0</v>
      </c>
      <c r="F15">
        <v>-2</v>
      </c>
      <c r="G15">
        <v>0</v>
      </c>
      <c r="H15">
        <v>0</v>
      </c>
      <c r="I15">
        <v>-2</v>
      </c>
      <c r="J15">
        <f>SQRT(2)</f>
        <v>1.4142135623730951</v>
      </c>
      <c r="K15">
        <f>-SQRT(2)</f>
        <v>-1.4142135623730951</v>
      </c>
      <c r="L15">
        <v>0</v>
      </c>
      <c r="M15">
        <v>2</v>
      </c>
      <c r="N15">
        <v>0</v>
      </c>
      <c r="O15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911D9-C475-45BB-9C85-D71DE65633A2}">
  <sheetPr codeName="Sheet33"/>
  <dimension ref="A1:H6"/>
  <sheetViews>
    <sheetView workbookViewId="0">
      <selection activeCell="B5" sqref="B5"/>
    </sheetView>
  </sheetViews>
  <sheetFormatPr defaultRowHeight="14.5" x14ac:dyDescent="0.35"/>
  <sheetData>
    <row r="1" spans="1:8" x14ac:dyDescent="0.35">
      <c r="B1" t="s">
        <v>0</v>
      </c>
      <c r="C1" t="s">
        <v>149</v>
      </c>
      <c r="D1" t="s">
        <v>64</v>
      </c>
      <c r="E1" t="s">
        <v>74</v>
      </c>
      <c r="F1" t="s">
        <v>93</v>
      </c>
      <c r="G1" t="s">
        <v>4</v>
      </c>
      <c r="H1" t="s">
        <v>5</v>
      </c>
    </row>
    <row r="2" spans="1:8" x14ac:dyDescent="0.35">
      <c r="A2" t="s">
        <v>66</v>
      </c>
      <c r="B2">
        <v>1</v>
      </c>
      <c r="C2">
        <v>1</v>
      </c>
      <c r="D2">
        <v>1</v>
      </c>
      <c r="E2">
        <v>1</v>
      </c>
      <c r="F2">
        <v>1</v>
      </c>
      <c r="H2" t="s">
        <v>22</v>
      </c>
    </row>
    <row r="3" spans="1:8" x14ac:dyDescent="0.35">
      <c r="A3" t="s">
        <v>67</v>
      </c>
      <c r="B3">
        <v>1</v>
      </c>
      <c r="C3">
        <v>1</v>
      </c>
      <c r="D3">
        <v>1</v>
      </c>
      <c r="E3">
        <v>-1</v>
      </c>
      <c r="F3">
        <v>-1</v>
      </c>
      <c r="G3" t="s">
        <v>85</v>
      </c>
    </row>
    <row r="4" spans="1:8" x14ac:dyDescent="0.35">
      <c r="A4" t="s">
        <v>58</v>
      </c>
      <c r="B4">
        <v>1</v>
      </c>
      <c r="C4">
        <v>-1</v>
      </c>
      <c r="D4">
        <v>1</v>
      </c>
      <c r="E4">
        <v>1</v>
      </c>
      <c r="F4">
        <v>-1</v>
      </c>
      <c r="H4" t="s">
        <v>72</v>
      </c>
    </row>
    <row r="5" spans="1:8" x14ac:dyDescent="0.35">
      <c r="A5" t="s">
        <v>59</v>
      </c>
      <c r="B5">
        <v>1</v>
      </c>
      <c r="C5">
        <v>-1</v>
      </c>
      <c r="D5">
        <v>1</v>
      </c>
      <c r="E5">
        <v>-1</v>
      </c>
      <c r="F5">
        <v>1</v>
      </c>
      <c r="G5" t="s">
        <v>84</v>
      </c>
      <c r="H5" t="s">
        <v>55</v>
      </c>
    </row>
    <row r="6" spans="1:8" x14ac:dyDescent="0.35">
      <c r="A6" t="s">
        <v>0</v>
      </c>
      <c r="B6">
        <v>2</v>
      </c>
      <c r="C6">
        <v>0</v>
      </c>
      <c r="D6">
        <v>-2</v>
      </c>
      <c r="E6">
        <v>0</v>
      </c>
      <c r="F6">
        <v>0</v>
      </c>
      <c r="G6" t="s">
        <v>70</v>
      </c>
      <c r="H6" t="s">
        <v>37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2F3C2-3ED1-4EA0-B54A-CE5B39B84AC4}">
  <sheetPr codeName="Sheet34"/>
  <dimension ref="A1:I7"/>
  <sheetViews>
    <sheetView workbookViewId="0">
      <selection activeCell="I4" sqref="I4"/>
    </sheetView>
  </sheetViews>
  <sheetFormatPr defaultRowHeight="14.5" x14ac:dyDescent="0.35"/>
  <sheetData>
    <row r="1" spans="1:9" x14ac:dyDescent="0.35">
      <c r="B1" t="s">
        <v>0</v>
      </c>
      <c r="C1" t="s">
        <v>157</v>
      </c>
      <c r="D1" t="s">
        <v>69</v>
      </c>
      <c r="E1" t="s">
        <v>10</v>
      </c>
      <c r="F1" t="s">
        <v>158</v>
      </c>
      <c r="G1" t="s">
        <v>96</v>
      </c>
      <c r="H1" t="s">
        <v>4</v>
      </c>
      <c r="I1" t="s">
        <v>5</v>
      </c>
    </row>
    <row r="2" spans="1:9" x14ac:dyDescent="0.35">
      <c r="A2" t="s">
        <v>150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I2" t="s">
        <v>22</v>
      </c>
    </row>
    <row r="3" spans="1:9" x14ac:dyDescent="0.35">
      <c r="A3" t="s">
        <v>151</v>
      </c>
      <c r="B3">
        <v>1</v>
      </c>
      <c r="C3">
        <v>1</v>
      </c>
      <c r="D3">
        <v>-1</v>
      </c>
      <c r="E3">
        <v>1</v>
      </c>
      <c r="F3">
        <v>1</v>
      </c>
      <c r="G3">
        <v>-1</v>
      </c>
      <c r="H3" t="s">
        <v>85</v>
      </c>
    </row>
    <row r="4" spans="1:9" x14ac:dyDescent="0.35">
      <c r="A4" t="s">
        <v>110</v>
      </c>
      <c r="B4">
        <v>2</v>
      </c>
      <c r="C4">
        <v>-1</v>
      </c>
      <c r="D4">
        <v>0</v>
      </c>
      <c r="E4">
        <v>2</v>
      </c>
      <c r="F4">
        <v>-1</v>
      </c>
      <c r="G4">
        <v>0</v>
      </c>
      <c r="H4" t="s">
        <v>108</v>
      </c>
      <c r="I4" t="s">
        <v>172</v>
      </c>
    </row>
    <row r="5" spans="1:9" x14ac:dyDescent="0.35">
      <c r="A5" t="s">
        <v>152</v>
      </c>
      <c r="B5">
        <v>1</v>
      </c>
      <c r="C5">
        <v>1</v>
      </c>
      <c r="D5">
        <v>1</v>
      </c>
      <c r="E5">
        <v>-1</v>
      </c>
      <c r="F5">
        <v>-1</v>
      </c>
      <c r="G5">
        <v>-1</v>
      </c>
    </row>
    <row r="6" spans="1:9" x14ac:dyDescent="0.35">
      <c r="A6" t="s">
        <v>153</v>
      </c>
      <c r="B6">
        <v>1</v>
      </c>
      <c r="C6">
        <v>1</v>
      </c>
      <c r="D6">
        <v>-1</v>
      </c>
      <c r="E6">
        <v>-1</v>
      </c>
      <c r="F6">
        <v>-1</v>
      </c>
      <c r="G6">
        <v>1</v>
      </c>
      <c r="H6" t="s">
        <v>84</v>
      </c>
    </row>
    <row r="7" spans="1:9" x14ac:dyDescent="0.35">
      <c r="A7" t="s">
        <v>111</v>
      </c>
      <c r="B7">
        <v>2</v>
      </c>
      <c r="C7">
        <v>-1</v>
      </c>
      <c r="D7">
        <v>0</v>
      </c>
      <c r="E7">
        <v>-2</v>
      </c>
      <c r="F7">
        <v>1</v>
      </c>
      <c r="G7">
        <v>0</v>
      </c>
      <c r="H7" t="s">
        <v>107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E44B4-4A43-4465-B91B-7959FF4C12C4}">
  <sheetPr codeName="Sheet35"/>
  <dimension ref="A1:J8"/>
  <sheetViews>
    <sheetView workbookViewId="0">
      <selection activeCell="E9" sqref="E9"/>
    </sheetView>
  </sheetViews>
  <sheetFormatPr defaultRowHeight="14.5" x14ac:dyDescent="0.35"/>
  <sheetData>
    <row r="1" spans="1:10" x14ac:dyDescent="0.35">
      <c r="B1" t="s">
        <v>0</v>
      </c>
      <c r="C1" t="s">
        <v>162</v>
      </c>
      <c r="D1" t="s">
        <v>160</v>
      </c>
      <c r="E1" t="s">
        <v>170</v>
      </c>
      <c r="F1" t="s">
        <v>15</v>
      </c>
      <c r="G1" t="s">
        <v>161</v>
      </c>
      <c r="H1" t="s">
        <v>164</v>
      </c>
      <c r="I1" t="s">
        <v>4</v>
      </c>
      <c r="J1" t="s">
        <v>5</v>
      </c>
    </row>
    <row r="2" spans="1:10" x14ac:dyDescent="0.35">
      <c r="A2" t="s">
        <v>66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J2" t="s">
        <v>22</v>
      </c>
    </row>
    <row r="3" spans="1:10" x14ac:dyDescent="0.35">
      <c r="A3" t="s">
        <v>67</v>
      </c>
      <c r="B3">
        <v>1</v>
      </c>
      <c r="C3">
        <v>1</v>
      </c>
      <c r="D3">
        <v>1</v>
      </c>
      <c r="E3">
        <v>1</v>
      </c>
      <c r="F3">
        <v>1</v>
      </c>
      <c r="G3">
        <v>-1</v>
      </c>
      <c r="H3">
        <v>-1</v>
      </c>
      <c r="I3" t="s">
        <v>85</v>
      </c>
    </row>
    <row r="4" spans="1:10" x14ac:dyDescent="0.35">
      <c r="A4" t="s">
        <v>58</v>
      </c>
      <c r="B4">
        <v>1</v>
      </c>
      <c r="C4">
        <v>-1</v>
      </c>
      <c r="D4">
        <v>1</v>
      </c>
      <c r="E4">
        <v>-1</v>
      </c>
      <c r="F4">
        <v>1</v>
      </c>
      <c r="G4">
        <v>1</v>
      </c>
      <c r="H4">
        <v>-1</v>
      </c>
    </row>
    <row r="5" spans="1:10" x14ac:dyDescent="0.35">
      <c r="A5" t="s">
        <v>59</v>
      </c>
      <c r="B5">
        <v>1</v>
      </c>
      <c r="C5">
        <v>-1</v>
      </c>
      <c r="D5">
        <v>1</v>
      </c>
      <c r="E5">
        <v>-1</v>
      </c>
      <c r="F5">
        <v>1</v>
      </c>
      <c r="G5">
        <v>-1</v>
      </c>
      <c r="H5">
        <v>1</v>
      </c>
      <c r="I5" t="s">
        <v>84</v>
      </c>
    </row>
    <row r="6" spans="1:10" x14ac:dyDescent="0.35">
      <c r="A6" t="s">
        <v>30</v>
      </c>
      <c r="B6">
        <v>2</v>
      </c>
      <c r="C6">
        <f>SQRT(2)</f>
        <v>1.4142135623730951</v>
      </c>
      <c r="D6">
        <v>0</v>
      </c>
      <c r="E6">
        <f>-SQRT(2)</f>
        <v>-1.4142135623730951</v>
      </c>
      <c r="F6">
        <v>-2</v>
      </c>
      <c r="G6">
        <v>0</v>
      </c>
      <c r="H6">
        <v>0</v>
      </c>
      <c r="I6" t="s">
        <v>107</v>
      </c>
    </row>
    <row r="7" spans="1:10" x14ac:dyDescent="0.35">
      <c r="A7" t="s">
        <v>31</v>
      </c>
      <c r="B7">
        <v>2</v>
      </c>
      <c r="C7">
        <v>0</v>
      </c>
      <c r="D7">
        <v>-2</v>
      </c>
      <c r="E7">
        <v>0</v>
      </c>
      <c r="F7">
        <v>2</v>
      </c>
      <c r="G7">
        <v>0</v>
      </c>
      <c r="H7">
        <v>0</v>
      </c>
      <c r="J7" t="s">
        <v>35</v>
      </c>
    </row>
    <row r="8" spans="1:10" x14ac:dyDescent="0.35">
      <c r="A8" t="s">
        <v>39</v>
      </c>
      <c r="B8">
        <v>2</v>
      </c>
      <c r="C8">
        <f>-SQRT(2)</f>
        <v>-1.4142135623730951</v>
      </c>
      <c r="D8">
        <v>0</v>
      </c>
      <c r="E8">
        <f>SQRT(2)</f>
        <v>1.4142135623730951</v>
      </c>
      <c r="F8">
        <v>-2</v>
      </c>
      <c r="G8">
        <v>0</v>
      </c>
      <c r="H8">
        <v>0</v>
      </c>
      <c r="I8" t="s">
        <v>108</v>
      </c>
      <c r="J8" t="s">
        <v>37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13F1-CA24-4070-9486-F3C73DEC145F}">
  <sheetPr codeName="Sheet36"/>
  <dimension ref="A1:K9"/>
  <sheetViews>
    <sheetView workbookViewId="0">
      <selection activeCell="G9" sqref="G9"/>
    </sheetView>
  </sheetViews>
  <sheetFormatPr defaultRowHeight="14.5" x14ac:dyDescent="0.35"/>
  <sheetData>
    <row r="1" spans="1:11" x14ac:dyDescent="0.35">
      <c r="B1" t="s">
        <v>0</v>
      </c>
      <c r="C1" t="s">
        <v>154</v>
      </c>
      <c r="D1" t="s">
        <v>80</v>
      </c>
      <c r="E1" t="s">
        <v>81</v>
      </c>
      <c r="F1" t="s">
        <v>10</v>
      </c>
      <c r="G1" t="s">
        <v>175</v>
      </c>
      <c r="H1" t="s">
        <v>173</v>
      </c>
      <c r="I1" t="s">
        <v>174</v>
      </c>
      <c r="J1" t="s">
        <v>4</v>
      </c>
      <c r="K1" t="s">
        <v>5</v>
      </c>
    </row>
    <row r="2" spans="1:11" x14ac:dyDescent="0.35">
      <c r="A2" t="s">
        <v>150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K2" t="s">
        <v>22</v>
      </c>
    </row>
    <row r="3" spans="1:11" x14ac:dyDescent="0.35">
      <c r="A3" t="s">
        <v>151</v>
      </c>
      <c r="B3">
        <v>1</v>
      </c>
      <c r="C3">
        <v>1</v>
      </c>
      <c r="D3">
        <v>1</v>
      </c>
      <c r="E3">
        <v>-1</v>
      </c>
      <c r="F3">
        <v>1</v>
      </c>
      <c r="G3">
        <v>1</v>
      </c>
      <c r="H3">
        <v>1</v>
      </c>
      <c r="I3">
        <v>-1</v>
      </c>
      <c r="J3" t="s">
        <v>85</v>
      </c>
    </row>
    <row r="4" spans="1:11" x14ac:dyDescent="0.35">
      <c r="A4" t="s">
        <v>123</v>
      </c>
      <c r="B4" s="5">
        <v>2</v>
      </c>
      <c r="C4" s="5">
        <f>2*COS(2*PI()/5)</f>
        <v>0.6180339887498949</v>
      </c>
      <c r="D4" s="5">
        <f>2*COS(4*PI()/5)</f>
        <v>-1.6180339887498947</v>
      </c>
      <c r="E4" s="5">
        <v>0</v>
      </c>
      <c r="F4" s="5">
        <v>2</v>
      </c>
      <c r="G4" s="5">
        <f>2*COS(2*PI()/5)</f>
        <v>0.6180339887498949</v>
      </c>
      <c r="H4" s="5">
        <f>2*COS(4*PI()/5)</f>
        <v>-1.6180339887498947</v>
      </c>
      <c r="I4" s="5">
        <v>0</v>
      </c>
      <c r="J4" t="s">
        <v>108</v>
      </c>
      <c r="K4" t="s">
        <v>37</v>
      </c>
    </row>
    <row r="5" spans="1:11" x14ac:dyDescent="0.35">
      <c r="A5" t="s">
        <v>124</v>
      </c>
      <c r="B5" s="5">
        <v>2</v>
      </c>
      <c r="C5" s="5">
        <f>2*COS(4*PI()/5)</f>
        <v>-1.6180339887498947</v>
      </c>
      <c r="D5" s="5">
        <f>2*COS(2*PI()/5)</f>
        <v>0.6180339887498949</v>
      </c>
      <c r="E5" s="5">
        <v>0</v>
      </c>
      <c r="F5" s="5">
        <v>2</v>
      </c>
      <c r="G5" s="5">
        <f>2*COS(4*PI()/5)</f>
        <v>-1.6180339887498947</v>
      </c>
      <c r="H5" s="5">
        <f>2*COS(2*PI()/5)</f>
        <v>0.6180339887498949</v>
      </c>
      <c r="I5" s="5">
        <v>0</v>
      </c>
      <c r="K5" t="s">
        <v>35</v>
      </c>
    </row>
    <row r="6" spans="1:11" x14ac:dyDescent="0.35">
      <c r="A6" t="s">
        <v>152</v>
      </c>
      <c r="B6" s="5">
        <v>1</v>
      </c>
      <c r="C6" s="5">
        <v>1</v>
      </c>
      <c r="D6" s="5">
        <v>1</v>
      </c>
      <c r="E6" s="5">
        <v>1</v>
      </c>
      <c r="F6" s="5">
        <v>-1</v>
      </c>
      <c r="G6" s="5">
        <v>-1</v>
      </c>
      <c r="H6" s="5">
        <v>-1</v>
      </c>
      <c r="I6" s="5">
        <v>-1</v>
      </c>
    </row>
    <row r="7" spans="1:11" x14ac:dyDescent="0.35">
      <c r="A7" t="s">
        <v>153</v>
      </c>
      <c r="B7" s="5">
        <v>1</v>
      </c>
      <c r="C7" s="5">
        <v>1</v>
      </c>
      <c r="D7" s="5">
        <v>1</v>
      </c>
      <c r="E7" s="5">
        <v>-1</v>
      </c>
      <c r="F7" s="5">
        <v>-1</v>
      </c>
      <c r="G7" s="5">
        <v>-1</v>
      </c>
      <c r="H7" s="5">
        <v>-1</v>
      </c>
      <c r="I7" s="5">
        <v>1</v>
      </c>
      <c r="J7" t="s">
        <v>84</v>
      </c>
    </row>
    <row r="8" spans="1:11" x14ac:dyDescent="0.35">
      <c r="A8" t="s">
        <v>125</v>
      </c>
      <c r="B8" s="5">
        <v>2</v>
      </c>
      <c r="C8" s="5">
        <f>2*COS(2*PI()/5)</f>
        <v>0.6180339887498949</v>
      </c>
      <c r="D8" s="5">
        <f>2*COS(4*PI()/5)</f>
        <v>-1.6180339887498947</v>
      </c>
      <c r="E8" s="5">
        <v>0</v>
      </c>
      <c r="F8" s="5">
        <v>-2</v>
      </c>
      <c r="G8" s="5">
        <f>-2*COS(2*PI()/5)</f>
        <v>-0.6180339887498949</v>
      </c>
      <c r="H8" s="5">
        <f>-2*COS(4*PI()/5)</f>
        <v>1.6180339887498947</v>
      </c>
      <c r="I8" s="5">
        <v>0</v>
      </c>
      <c r="J8" t="s">
        <v>107</v>
      </c>
    </row>
    <row r="9" spans="1:11" x14ac:dyDescent="0.35">
      <c r="A9" t="s">
        <v>126</v>
      </c>
      <c r="B9" s="5">
        <v>2</v>
      </c>
      <c r="C9" s="5">
        <f>2*COS(4*PI()/5)</f>
        <v>-1.6180339887498947</v>
      </c>
      <c r="D9" s="5">
        <f>2*COS(2*PI()/5)</f>
        <v>0.6180339887498949</v>
      </c>
      <c r="E9" s="5">
        <v>0</v>
      </c>
      <c r="F9" s="5">
        <v>-2</v>
      </c>
      <c r="G9" s="5">
        <f>-2*COS(4*PI()/5)</f>
        <v>1.6180339887498947</v>
      </c>
      <c r="H9" s="5">
        <f>-2*COS(2*PI()/5)</f>
        <v>-0.6180339887498949</v>
      </c>
      <c r="I9" s="5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2EBB-1D35-4563-BAED-630AE223B980}">
  <sheetPr codeName="Sheet37"/>
  <dimension ref="A1:L10"/>
  <sheetViews>
    <sheetView workbookViewId="0">
      <selection activeCell="C6" sqref="C6"/>
    </sheetView>
  </sheetViews>
  <sheetFormatPr defaultRowHeight="14.5" x14ac:dyDescent="0.35"/>
  <sheetData>
    <row r="1" spans="1:12" x14ac:dyDescent="0.35">
      <c r="B1" t="s">
        <v>0</v>
      </c>
      <c r="C1" t="s">
        <v>176</v>
      </c>
      <c r="D1" t="s">
        <v>177</v>
      </c>
      <c r="E1" t="s">
        <v>149</v>
      </c>
      <c r="F1" t="s">
        <v>157</v>
      </c>
      <c r="G1" t="s">
        <v>181</v>
      </c>
      <c r="H1" t="s">
        <v>15</v>
      </c>
      <c r="I1" t="s">
        <v>182</v>
      </c>
      <c r="J1" t="s">
        <v>178</v>
      </c>
      <c r="K1" t="s">
        <v>4</v>
      </c>
      <c r="L1" t="s">
        <v>5</v>
      </c>
    </row>
    <row r="2" spans="1:12" x14ac:dyDescent="0.35">
      <c r="A2" t="s">
        <v>66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L2" t="s">
        <v>22</v>
      </c>
    </row>
    <row r="3" spans="1:12" x14ac:dyDescent="0.35">
      <c r="A3" t="s">
        <v>67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-1</v>
      </c>
      <c r="J3">
        <v>-1</v>
      </c>
      <c r="K3" t="s">
        <v>85</v>
      </c>
    </row>
    <row r="4" spans="1:12" x14ac:dyDescent="0.35">
      <c r="A4" t="s">
        <v>58</v>
      </c>
      <c r="B4">
        <v>1</v>
      </c>
      <c r="C4">
        <v>-1</v>
      </c>
      <c r="D4">
        <v>1</v>
      </c>
      <c r="E4">
        <v>-1</v>
      </c>
      <c r="F4">
        <v>1</v>
      </c>
      <c r="G4">
        <v>-1</v>
      </c>
      <c r="H4">
        <v>1</v>
      </c>
      <c r="I4">
        <v>1</v>
      </c>
      <c r="J4">
        <v>-1</v>
      </c>
    </row>
    <row r="5" spans="1:12" x14ac:dyDescent="0.35">
      <c r="A5" t="s">
        <v>59</v>
      </c>
      <c r="B5">
        <v>1</v>
      </c>
      <c r="C5">
        <v>-1</v>
      </c>
      <c r="D5">
        <v>1</v>
      </c>
      <c r="E5">
        <v>-1</v>
      </c>
      <c r="F5">
        <v>1</v>
      </c>
      <c r="G5">
        <v>-1</v>
      </c>
      <c r="H5">
        <v>1</v>
      </c>
      <c r="I5">
        <v>-1</v>
      </c>
      <c r="J5">
        <v>1</v>
      </c>
      <c r="K5" t="s">
        <v>84</v>
      </c>
    </row>
    <row r="6" spans="1:12" x14ac:dyDescent="0.35">
      <c r="A6" t="s">
        <v>30</v>
      </c>
      <c r="B6">
        <v>2</v>
      </c>
      <c r="C6">
        <f>SQRT(3)</f>
        <v>1.7320508075688772</v>
      </c>
      <c r="D6">
        <v>1</v>
      </c>
      <c r="E6">
        <v>0</v>
      </c>
      <c r="F6">
        <v>-1</v>
      </c>
      <c r="G6">
        <f>-SQRT(3)</f>
        <v>-1.7320508075688772</v>
      </c>
      <c r="H6">
        <v>-2</v>
      </c>
      <c r="I6">
        <v>0</v>
      </c>
      <c r="J6">
        <v>0</v>
      </c>
      <c r="K6" t="s">
        <v>107</v>
      </c>
    </row>
    <row r="7" spans="1:12" x14ac:dyDescent="0.35">
      <c r="A7" t="s">
        <v>31</v>
      </c>
      <c r="B7">
        <v>2</v>
      </c>
      <c r="C7">
        <v>1</v>
      </c>
      <c r="D7">
        <v>-1</v>
      </c>
      <c r="E7">
        <v>-2</v>
      </c>
      <c r="F7">
        <v>-1</v>
      </c>
      <c r="G7">
        <v>1</v>
      </c>
      <c r="H7">
        <v>2</v>
      </c>
      <c r="I7">
        <v>0</v>
      </c>
      <c r="J7">
        <v>0</v>
      </c>
      <c r="L7" t="s">
        <v>35</v>
      </c>
    </row>
    <row r="8" spans="1:12" x14ac:dyDescent="0.35">
      <c r="A8" t="s">
        <v>39</v>
      </c>
      <c r="B8">
        <v>2</v>
      </c>
      <c r="C8">
        <v>0</v>
      </c>
      <c r="D8">
        <v>-2</v>
      </c>
      <c r="E8">
        <v>0</v>
      </c>
      <c r="F8">
        <v>2</v>
      </c>
      <c r="G8">
        <v>0</v>
      </c>
      <c r="H8">
        <v>-2</v>
      </c>
      <c r="I8">
        <v>0</v>
      </c>
      <c r="J8">
        <v>0</v>
      </c>
    </row>
    <row r="9" spans="1:12" x14ac:dyDescent="0.35">
      <c r="A9" t="s">
        <v>179</v>
      </c>
      <c r="B9">
        <v>2</v>
      </c>
      <c r="C9">
        <v>-1</v>
      </c>
      <c r="D9">
        <v>-1</v>
      </c>
      <c r="E9">
        <v>2</v>
      </c>
      <c r="F9">
        <v>-1</v>
      </c>
      <c r="G9">
        <v>-1</v>
      </c>
      <c r="H9">
        <v>2</v>
      </c>
      <c r="I9">
        <v>0</v>
      </c>
      <c r="J9">
        <v>0</v>
      </c>
    </row>
    <row r="10" spans="1:12" x14ac:dyDescent="0.35">
      <c r="A10" t="s">
        <v>180</v>
      </c>
      <c r="B10">
        <v>2</v>
      </c>
      <c r="C10">
        <f>-SQRT(3)</f>
        <v>-1.7320508075688772</v>
      </c>
      <c r="D10">
        <v>1</v>
      </c>
      <c r="E10">
        <v>0</v>
      </c>
      <c r="F10">
        <v>-1</v>
      </c>
      <c r="G10">
        <f>SQRT(3)</f>
        <v>1.7320508075688772</v>
      </c>
      <c r="H10">
        <v>-2</v>
      </c>
      <c r="I10">
        <v>0</v>
      </c>
      <c r="J10">
        <v>0</v>
      </c>
      <c r="K10" t="s">
        <v>108</v>
      </c>
      <c r="L10" t="s">
        <v>37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35A11-25FF-4649-B0CE-9A843D2499B3}">
  <sheetPr codeName="Sheet38"/>
  <dimension ref="A1:G4"/>
  <sheetViews>
    <sheetView workbookViewId="0">
      <selection activeCell="E5" sqref="E5"/>
    </sheetView>
  </sheetViews>
  <sheetFormatPr defaultRowHeight="14.5" x14ac:dyDescent="0.35"/>
  <sheetData>
    <row r="1" spans="1:7" x14ac:dyDescent="0.35">
      <c r="B1" t="s">
        <v>0</v>
      </c>
      <c r="C1" t="s">
        <v>109</v>
      </c>
      <c r="D1" t="s">
        <v>15</v>
      </c>
      <c r="E1" t="s">
        <v>113</v>
      </c>
      <c r="F1" t="s">
        <v>4</v>
      </c>
      <c r="G1" t="s">
        <v>5</v>
      </c>
    </row>
    <row r="2" spans="1:7" x14ac:dyDescent="0.35">
      <c r="A2" t="s">
        <v>1</v>
      </c>
      <c r="B2">
        <v>1</v>
      </c>
      <c r="C2">
        <v>1</v>
      </c>
      <c r="D2">
        <v>1</v>
      </c>
      <c r="E2">
        <v>1</v>
      </c>
      <c r="F2" t="s">
        <v>85</v>
      </c>
      <c r="G2" t="s">
        <v>22</v>
      </c>
    </row>
    <row r="3" spans="1:7" x14ac:dyDescent="0.35">
      <c r="A3" t="s">
        <v>16</v>
      </c>
      <c r="B3">
        <v>1</v>
      </c>
      <c r="C3">
        <v>-1</v>
      </c>
      <c r="D3">
        <v>1</v>
      </c>
      <c r="E3">
        <v>-1</v>
      </c>
      <c r="F3" t="s">
        <v>84</v>
      </c>
      <c r="G3" t="s">
        <v>26</v>
      </c>
    </row>
    <row r="4" spans="1:7" x14ac:dyDescent="0.35">
      <c r="A4" t="s">
        <v>0</v>
      </c>
      <c r="B4">
        <v>2</v>
      </c>
      <c r="C4">
        <v>0</v>
      </c>
      <c r="D4">
        <v>-2</v>
      </c>
      <c r="E4">
        <v>0</v>
      </c>
      <c r="F4" t="s">
        <v>21</v>
      </c>
      <c r="G4" t="s">
        <v>37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2109C-2CA1-483B-88A1-D6907557E58C}">
  <sheetPr codeName="Sheet39"/>
  <dimension ref="A1:I6"/>
  <sheetViews>
    <sheetView workbookViewId="0">
      <selection activeCell="C3" sqref="C3"/>
    </sheetView>
  </sheetViews>
  <sheetFormatPr defaultRowHeight="14.5" x14ac:dyDescent="0.35"/>
  <sheetData>
    <row r="1" spans="1:9" x14ac:dyDescent="0.35">
      <c r="A1" t="s">
        <v>51</v>
      </c>
      <c r="B1" t="s">
        <v>0</v>
      </c>
      <c r="C1" t="s">
        <v>105</v>
      </c>
      <c r="D1" t="s">
        <v>183</v>
      </c>
      <c r="E1" t="s">
        <v>10</v>
      </c>
      <c r="F1" t="s">
        <v>128</v>
      </c>
      <c r="G1" t="s">
        <v>122</v>
      </c>
      <c r="H1" t="s">
        <v>4</v>
      </c>
      <c r="I1" t="s">
        <v>5</v>
      </c>
    </row>
    <row r="2" spans="1:9" x14ac:dyDescent="0.35">
      <c r="A2" t="s">
        <v>11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 t="s">
        <v>85</v>
      </c>
      <c r="I2" t="s">
        <v>22</v>
      </c>
    </row>
    <row r="3" spans="1:9" x14ac:dyDescent="0.35">
      <c r="A3" t="s">
        <v>110</v>
      </c>
      <c r="B3" s="5">
        <v>2</v>
      </c>
      <c r="C3" s="5">
        <f>2*COS(2*PI()/3)</f>
        <v>-0.99999999999999956</v>
      </c>
      <c r="D3" s="5">
        <f>2*COS(2*PI()/3)</f>
        <v>-0.99999999999999956</v>
      </c>
      <c r="E3" s="5">
        <v>2</v>
      </c>
      <c r="F3" s="5">
        <f>2*COS(2*PI()/3)</f>
        <v>-0.99999999999999956</v>
      </c>
      <c r="G3" s="5">
        <f>2*COS(2*PI()/3)</f>
        <v>-0.99999999999999956</v>
      </c>
      <c r="H3" s="1" t="s">
        <v>108</v>
      </c>
      <c r="I3" t="s">
        <v>71</v>
      </c>
    </row>
    <row r="4" spans="1:9" x14ac:dyDescent="0.35">
      <c r="A4" t="s">
        <v>12</v>
      </c>
      <c r="B4" s="5">
        <v>1</v>
      </c>
      <c r="C4" s="5">
        <v>1</v>
      </c>
      <c r="D4" s="5">
        <v>1</v>
      </c>
      <c r="E4" s="5">
        <v>-1</v>
      </c>
      <c r="F4" s="5">
        <v>-1</v>
      </c>
      <c r="G4" s="5">
        <v>-1</v>
      </c>
      <c r="H4" t="s">
        <v>84</v>
      </c>
    </row>
    <row r="5" spans="1:9" x14ac:dyDescent="0.35">
      <c r="A5" t="s">
        <v>111</v>
      </c>
      <c r="B5" s="5">
        <v>2</v>
      </c>
      <c r="C5" s="5">
        <f>2*COS(2*PI()/3)</f>
        <v>-0.99999999999999956</v>
      </c>
      <c r="D5" s="5">
        <f>2*COS(2*PI()/3)</f>
        <v>-0.99999999999999956</v>
      </c>
      <c r="E5" s="5">
        <v>-2</v>
      </c>
      <c r="F5" s="5">
        <f>-2*COS(2*PI()/3)</f>
        <v>0.99999999999999956</v>
      </c>
      <c r="G5" s="5">
        <f>-2*COS(2*PI()/3)</f>
        <v>0.99999999999999956</v>
      </c>
      <c r="H5" s="1" t="s">
        <v>107</v>
      </c>
    </row>
    <row r="6" spans="1:9" x14ac:dyDescent="0.35">
      <c r="B6" s="5"/>
      <c r="C6" s="5"/>
      <c r="D6" s="5"/>
      <c r="E6" s="5"/>
      <c r="F6" s="5"/>
      <c r="G6" s="5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7A7A4-FCAA-4059-8A99-1A53600AAD82}">
  <sheetPr codeName="Sheet40"/>
  <dimension ref="A1:K8"/>
  <sheetViews>
    <sheetView workbookViewId="0">
      <selection activeCell="C4" sqref="C4"/>
    </sheetView>
  </sheetViews>
  <sheetFormatPr defaultRowHeight="14.5" x14ac:dyDescent="0.35"/>
  <sheetData>
    <row r="1" spans="1:11" x14ac:dyDescent="0.35">
      <c r="A1" t="s">
        <v>54</v>
      </c>
      <c r="B1" t="s">
        <v>0</v>
      </c>
      <c r="C1" t="s">
        <v>184</v>
      </c>
      <c r="D1" t="s">
        <v>112</v>
      </c>
      <c r="E1" t="s">
        <v>185</v>
      </c>
      <c r="F1" t="s">
        <v>15</v>
      </c>
      <c r="G1" t="s">
        <v>186</v>
      </c>
      <c r="H1" t="s">
        <v>25</v>
      </c>
      <c r="I1" t="s">
        <v>187</v>
      </c>
      <c r="J1" t="s">
        <v>4</v>
      </c>
      <c r="K1" t="s">
        <v>5</v>
      </c>
    </row>
    <row r="2" spans="1:11" x14ac:dyDescent="0.35">
      <c r="A2" t="s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 t="s">
        <v>85</v>
      </c>
      <c r="K2" t="s">
        <v>22</v>
      </c>
    </row>
    <row r="3" spans="1:11" x14ac:dyDescent="0.35">
      <c r="A3" t="s">
        <v>16</v>
      </c>
      <c r="B3">
        <v>1</v>
      </c>
      <c r="C3">
        <v>-1</v>
      </c>
      <c r="D3">
        <v>1</v>
      </c>
      <c r="E3">
        <v>-1</v>
      </c>
      <c r="F3">
        <v>1</v>
      </c>
      <c r="G3">
        <v>-1</v>
      </c>
      <c r="H3">
        <v>1</v>
      </c>
      <c r="I3">
        <v>-1</v>
      </c>
      <c r="J3" t="s">
        <v>84</v>
      </c>
    </row>
    <row r="4" spans="1:11" x14ac:dyDescent="0.35">
      <c r="A4" t="s">
        <v>30</v>
      </c>
      <c r="B4" s="5">
        <v>2</v>
      </c>
      <c r="C4" s="5">
        <f>2*COS(2*PI()/8)</f>
        <v>1.4142135623730951</v>
      </c>
      <c r="D4" s="5">
        <v>0</v>
      </c>
      <c r="E4" s="5">
        <f>-2*COS(2*PI()/8)</f>
        <v>-1.4142135623730951</v>
      </c>
      <c r="F4" s="5">
        <v>-2</v>
      </c>
      <c r="G4" s="5">
        <f>-2*COS(2*PI()/8)</f>
        <v>-1.4142135623730951</v>
      </c>
      <c r="H4" s="5">
        <v>0</v>
      </c>
      <c r="I4" s="5">
        <f>2*COS(2*PI()/8)</f>
        <v>1.4142135623730951</v>
      </c>
      <c r="J4" s="1" t="s">
        <v>107</v>
      </c>
    </row>
    <row r="5" spans="1:11" x14ac:dyDescent="0.35">
      <c r="A5" t="s">
        <v>31</v>
      </c>
      <c r="B5" s="5">
        <v>2</v>
      </c>
      <c r="C5" s="5">
        <v>0</v>
      </c>
      <c r="D5" s="5">
        <v>-2</v>
      </c>
      <c r="E5" s="5">
        <v>0</v>
      </c>
      <c r="F5" s="5">
        <v>2</v>
      </c>
      <c r="G5" s="5">
        <v>0</v>
      </c>
      <c r="H5" s="5">
        <v>-2</v>
      </c>
      <c r="I5" s="5">
        <v>0</v>
      </c>
      <c r="K5" t="s">
        <v>35</v>
      </c>
    </row>
    <row r="6" spans="1:11" x14ac:dyDescent="0.35">
      <c r="A6" t="s">
        <v>39</v>
      </c>
      <c r="B6" s="5">
        <v>2</v>
      </c>
      <c r="C6" s="5">
        <f>-2*COS(2*PI()/8)</f>
        <v>-1.4142135623730951</v>
      </c>
      <c r="D6" s="5">
        <v>0</v>
      </c>
      <c r="E6" s="5">
        <f>2*COS(2*PI()/8)</f>
        <v>1.4142135623730951</v>
      </c>
      <c r="F6" s="5">
        <v>-2</v>
      </c>
      <c r="G6" s="5">
        <f>2*COS(2*PI()/8)</f>
        <v>1.4142135623730951</v>
      </c>
      <c r="H6" s="5">
        <v>0</v>
      </c>
      <c r="I6" s="5">
        <f>-2*COS(2*PI()/8)</f>
        <v>-1.4142135623730951</v>
      </c>
      <c r="J6" s="1" t="s">
        <v>108</v>
      </c>
      <c r="K6" t="s">
        <v>37</v>
      </c>
    </row>
    <row r="7" spans="1:11" x14ac:dyDescent="0.35">
      <c r="B7" s="5"/>
      <c r="C7" s="5"/>
      <c r="D7" s="5"/>
      <c r="E7" s="5"/>
      <c r="F7" s="5"/>
      <c r="G7" s="5"/>
      <c r="H7" s="5"/>
      <c r="I7" s="5"/>
    </row>
    <row r="8" spans="1:11" x14ac:dyDescent="0.35">
      <c r="C8" s="1"/>
      <c r="D8" s="1"/>
      <c r="E8" s="1"/>
      <c r="F8" s="1"/>
      <c r="G8" s="1"/>
      <c r="H8" s="1"/>
      <c r="I8" s="1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9F6A7-EC2E-4171-9312-D48036CD8547}">
  <sheetPr codeName="Sheet41"/>
  <dimension ref="A1:G4"/>
  <sheetViews>
    <sheetView workbookViewId="0">
      <selection activeCell="C3" sqref="C3"/>
    </sheetView>
  </sheetViews>
  <sheetFormatPr defaultRowHeight="14.5" x14ac:dyDescent="0.35"/>
  <sheetData>
    <row r="1" spans="1:7" x14ac:dyDescent="0.35">
      <c r="A1" t="s">
        <v>51</v>
      </c>
      <c r="B1" t="s">
        <v>0</v>
      </c>
      <c r="C1" t="s">
        <v>188</v>
      </c>
      <c r="D1" t="s">
        <v>191</v>
      </c>
      <c r="E1" t="s">
        <v>189</v>
      </c>
      <c r="F1" t="s">
        <v>4</v>
      </c>
      <c r="G1" t="s">
        <v>5</v>
      </c>
    </row>
    <row r="2" spans="1:7" x14ac:dyDescent="0.35">
      <c r="A2" t="s">
        <v>1</v>
      </c>
      <c r="B2">
        <v>1</v>
      </c>
      <c r="C2">
        <v>1</v>
      </c>
      <c r="D2">
        <v>1</v>
      </c>
      <c r="E2">
        <v>1</v>
      </c>
      <c r="G2" t="s">
        <v>190</v>
      </c>
    </row>
    <row r="3" spans="1:7" x14ac:dyDescent="0.35">
      <c r="A3" t="s">
        <v>0</v>
      </c>
      <c r="B3">
        <v>2</v>
      </c>
      <c r="C3">
        <f>2*COS(2*PI()/3)</f>
        <v>-0.99999999999999956</v>
      </c>
      <c r="D3">
        <f>2*COS(2*PI()/3)</f>
        <v>-0.99999999999999956</v>
      </c>
      <c r="E3">
        <v>2</v>
      </c>
      <c r="G3" t="s">
        <v>192</v>
      </c>
    </row>
    <row r="4" spans="1:7" x14ac:dyDescent="0.35">
      <c r="A4" t="s">
        <v>171</v>
      </c>
      <c r="B4">
        <v>3</v>
      </c>
      <c r="C4">
        <v>0</v>
      </c>
      <c r="D4">
        <v>0</v>
      </c>
      <c r="E4">
        <v>-1</v>
      </c>
      <c r="F4" t="s">
        <v>193</v>
      </c>
      <c r="G4" t="s">
        <v>194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D9ED3-2603-4CBB-B2EC-94FA46D9738F}">
  <sheetPr codeName="Sheet42"/>
  <dimension ref="A1:K7"/>
  <sheetViews>
    <sheetView workbookViewId="0">
      <selection activeCell="C3" sqref="C3"/>
    </sheetView>
  </sheetViews>
  <sheetFormatPr defaultRowHeight="14.5" x14ac:dyDescent="0.35"/>
  <sheetData>
    <row r="1" spans="1:11" x14ac:dyDescent="0.35">
      <c r="A1" t="s">
        <v>51</v>
      </c>
      <c r="B1" t="s">
        <v>0</v>
      </c>
      <c r="C1" t="s">
        <v>188</v>
      </c>
      <c r="D1" t="s">
        <v>191</v>
      </c>
      <c r="E1" t="s">
        <v>189</v>
      </c>
      <c r="F1" t="s">
        <v>10</v>
      </c>
      <c r="G1" t="s">
        <v>199</v>
      </c>
      <c r="H1" t="s">
        <v>195</v>
      </c>
      <c r="I1" t="s">
        <v>196</v>
      </c>
      <c r="J1" t="s">
        <v>4</v>
      </c>
      <c r="K1" t="s">
        <v>5</v>
      </c>
    </row>
    <row r="2" spans="1:11" x14ac:dyDescent="0.35">
      <c r="A2" t="s">
        <v>11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K2" t="s">
        <v>190</v>
      </c>
    </row>
    <row r="3" spans="1:11" x14ac:dyDescent="0.35">
      <c r="A3" t="s">
        <v>110</v>
      </c>
      <c r="B3">
        <v>2</v>
      </c>
      <c r="C3">
        <f>2*COS(2*PI()/3)</f>
        <v>-0.99999999999999956</v>
      </c>
      <c r="D3">
        <f>2*COS(2*PI()/3)</f>
        <v>-0.99999999999999956</v>
      </c>
      <c r="E3">
        <v>2</v>
      </c>
      <c r="F3">
        <v>2</v>
      </c>
      <c r="G3">
        <f>2*COS(2*PI()/3)</f>
        <v>-0.99999999999999956</v>
      </c>
      <c r="H3">
        <f>2*COS(2*PI()/3)</f>
        <v>-0.99999999999999956</v>
      </c>
      <c r="I3">
        <v>2</v>
      </c>
      <c r="K3" t="s">
        <v>192</v>
      </c>
    </row>
    <row r="4" spans="1:11" x14ac:dyDescent="0.35">
      <c r="A4" t="s">
        <v>197</v>
      </c>
      <c r="B4">
        <v>3</v>
      </c>
      <c r="C4">
        <v>0</v>
      </c>
      <c r="D4">
        <v>0</v>
      </c>
      <c r="E4">
        <v>-1</v>
      </c>
      <c r="F4">
        <v>3</v>
      </c>
      <c r="G4">
        <v>0</v>
      </c>
      <c r="H4">
        <v>0</v>
      </c>
      <c r="I4">
        <v>-1</v>
      </c>
      <c r="J4" t="s">
        <v>200</v>
      </c>
      <c r="K4" t="s">
        <v>194</v>
      </c>
    </row>
    <row r="5" spans="1:11" x14ac:dyDescent="0.35">
      <c r="A5" t="s">
        <v>12</v>
      </c>
      <c r="B5">
        <v>1</v>
      </c>
      <c r="C5">
        <v>1</v>
      </c>
      <c r="D5">
        <v>1</v>
      </c>
      <c r="E5">
        <v>1</v>
      </c>
      <c r="F5">
        <v>-1</v>
      </c>
      <c r="G5">
        <v>-1</v>
      </c>
      <c r="H5">
        <v>-1</v>
      </c>
      <c r="I5">
        <v>-1</v>
      </c>
    </row>
    <row r="6" spans="1:11" x14ac:dyDescent="0.35">
      <c r="A6" t="s">
        <v>111</v>
      </c>
      <c r="B6">
        <v>2</v>
      </c>
      <c r="C6">
        <f>2*COS(2*PI()/3)</f>
        <v>-0.99999999999999956</v>
      </c>
      <c r="D6">
        <f>2*COS(2*PI()/3)</f>
        <v>-0.99999999999999956</v>
      </c>
      <c r="E6">
        <v>2</v>
      </c>
      <c r="F6">
        <v>-2</v>
      </c>
      <c r="G6" s="5">
        <f>-2*COS(2*PI()/3)</f>
        <v>0.99999999999999956</v>
      </c>
      <c r="H6" s="5">
        <f>-2*COS(2*PI()/3)</f>
        <v>0.99999999999999956</v>
      </c>
      <c r="I6">
        <v>-2</v>
      </c>
    </row>
    <row r="7" spans="1:11" x14ac:dyDescent="0.35">
      <c r="A7" t="s">
        <v>198</v>
      </c>
      <c r="B7">
        <v>3</v>
      </c>
      <c r="C7">
        <v>0</v>
      </c>
      <c r="D7">
        <v>0</v>
      </c>
      <c r="E7">
        <v>-1</v>
      </c>
      <c r="F7">
        <v>-3</v>
      </c>
      <c r="G7">
        <v>0</v>
      </c>
      <c r="H7">
        <v>0</v>
      </c>
      <c r="I7">
        <v>1</v>
      </c>
      <c r="J7" t="s">
        <v>201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ECB13-7917-402E-8B0C-BAB6E4088ECA}">
  <sheetPr codeName="Sheet43"/>
  <dimension ref="A1:H6"/>
  <sheetViews>
    <sheetView workbookViewId="0">
      <selection activeCell="H5" sqref="H5"/>
    </sheetView>
  </sheetViews>
  <sheetFormatPr defaultRowHeight="14.5" x14ac:dyDescent="0.35"/>
  <sheetData>
    <row r="1" spans="1:8" x14ac:dyDescent="0.35">
      <c r="A1" t="s">
        <v>202</v>
      </c>
      <c r="B1" t="s">
        <v>0</v>
      </c>
      <c r="C1" t="s">
        <v>203</v>
      </c>
      <c r="D1" t="s">
        <v>189</v>
      </c>
      <c r="E1" t="s">
        <v>204</v>
      </c>
      <c r="F1" t="s">
        <v>178</v>
      </c>
      <c r="G1" t="s">
        <v>4</v>
      </c>
      <c r="H1" t="s">
        <v>5</v>
      </c>
    </row>
    <row r="2" spans="1:8" x14ac:dyDescent="0.35">
      <c r="A2" t="s">
        <v>66</v>
      </c>
      <c r="B2">
        <v>1</v>
      </c>
      <c r="C2">
        <v>1</v>
      </c>
      <c r="D2">
        <v>1</v>
      </c>
      <c r="E2">
        <v>1</v>
      </c>
      <c r="F2">
        <v>1</v>
      </c>
      <c r="H2" t="s">
        <v>190</v>
      </c>
    </row>
    <row r="3" spans="1:8" x14ac:dyDescent="0.35">
      <c r="A3" t="s">
        <v>67</v>
      </c>
      <c r="B3">
        <v>1</v>
      </c>
      <c r="C3">
        <v>1</v>
      </c>
      <c r="D3">
        <v>1</v>
      </c>
      <c r="E3">
        <v>-1</v>
      </c>
      <c r="F3">
        <v>-1</v>
      </c>
    </row>
    <row r="4" spans="1:8" x14ac:dyDescent="0.35">
      <c r="A4" t="s">
        <v>0</v>
      </c>
      <c r="B4">
        <v>2</v>
      </c>
      <c r="C4">
        <v>-1</v>
      </c>
      <c r="D4">
        <v>2</v>
      </c>
      <c r="E4">
        <v>0</v>
      </c>
      <c r="F4">
        <v>0</v>
      </c>
      <c r="H4" t="s">
        <v>207</v>
      </c>
    </row>
    <row r="5" spans="1:8" x14ac:dyDescent="0.35">
      <c r="A5" t="s">
        <v>205</v>
      </c>
      <c r="B5">
        <v>3</v>
      </c>
      <c r="C5">
        <v>0</v>
      </c>
      <c r="D5">
        <v>-1</v>
      </c>
      <c r="E5">
        <v>1</v>
      </c>
      <c r="F5">
        <v>-1</v>
      </c>
      <c r="G5" t="s">
        <v>200</v>
      </c>
    </row>
    <row r="6" spans="1:8" x14ac:dyDescent="0.35">
      <c r="A6" t="s">
        <v>206</v>
      </c>
      <c r="B6">
        <v>3</v>
      </c>
      <c r="C6">
        <v>0</v>
      </c>
      <c r="D6">
        <v>-1</v>
      </c>
      <c r="E6">
        <v>-1</v>
      </c>
      <c r="F6">
        <v>1</v>
      </c>
      <c r="G6" t="s">
        <v>201</v>
      </c>
      <c r="H6" t="s">
        <v>194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32358-A00B-4062-BF0E-4A4C361DABD8}">
  <sheetPr codeName="Sheet44"/>
  <dimension ref="A1:H6"/>
  <sheetViews>
    <sheetView workbookViewId="0">
      <selection activeCell="D2" sqref="D2"/>
    </sheetView>
  </sheetViews>
  <sheetFormatPr defaultRowHeight="14.5" x14ac:dyDescent="0.35"/>
  <sheetData>
    <row r="1" spans="1:8" x14ac:dyDescent="0.35">
      <c r="A1" t="s">
        <v>208</v>
      </c>
      <c r="B1" t="s">
        <v>0</v>
      </c>
      <c r="C1" t="s">
        <v>203</v>
      </c>
      <c r="D1" t="s">
        <v>212</v>
      </c>
      <c r="E1" t="s">
        <v>209</v>
      </c>
      <c r="F1" t="s">
        <v>210</v>
      </c>
      <c r="G1" t="s">
        <v>4</v>
      </c>
      <c r="H1" t="s">
        <v>5</v>
      </c>
    </row>
    <row r="2" spans="1:8" x14ac:dyDescent="0.35">
      <c r="A2" t="s">
        <v>66</v>
      </c>
      <c r="B2">
        <v>1</v>
      </c>
      <c r="C2">
        <v>1</v>
      </c>
      <c r="D2">
        <v>1</v>
      </c>
      <c r="E2">
        <v>1</v>
      </c>
      <c r="F2">
        <v>1</v>
      </c>
      <c r="H2" t="s">
        <v>190</v>
      </c>
    </row>
    <row r="3" spans="1:8" x14ac:dyDescent="0.35">
      <c r="A3" t="s">
        <v>67</v>
      </c>
      <c r="B3">
        <v>1</v>
      </c>
      <c r="C3">
        <v>1</v>
      </c>
      <c r="D3">
        <v>-1</v>
      </c>
      <c r="E3">
        <v>-1</v>
      </c>
      <c r="F3">
        <v>1</v>
      </c>
    </row>
    <row r="4" spans="1:8" x14ac:dyDescent="0.35">
      <c r="A4" t="s">
        <v>0</v>
      </c>
      <c r="B4">
        <v>2</v>
      </c>
      <c r="C4">
        <v>-1</v>
      </c>
      <c r="D4">
        <v>0</v>
      </c>
      <c r="E4">
        <v>0</v>
      </c>
      <c r="F4">
        <v>2</v>
      </c>
      <c r="H4" t="s">
        <v>192</v>
      </c>
    </row>
    <row r="5" spans="1:8" x14ac:dyDescent="0.35">
      <c r="A5" t="s">
        <v>205</v>
      </c>
      <c r="B5">
        <v>3</v>
      </c>
      <c r="C5">
        <v>0</v>
      </c>
      <c r="D5">
        <v>-1</v>
      </c>
      <c r="E5">
        <v>1</v>
      </c>
      <c r="F5">
        <v>-1</v>
      </c>
      <c r="G5" t="s">
        <v>193</v>
      </c>
    </row>
    <row r="6" spans="1:8" x14ac:dyDescent="0.35">
      <c r="A6" t="s">
        <v>206</v>
      </c>
      <c r="B6">
        <v>3</v>
      </c>
      <c r="C6">
        <v>0</v>
      </c>
      <c r="D6">
        <v>1</v>
      </c>
      <c r="E6">
        <v>-1</v>
      </c>
      <c r="F6">
        <v>-1</v>
      </c>
      <c r="H6" t="s">
        <v>194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90E9-D78B-45EC-842B-960CBEBA08FF}">
  <sheetPr codeName="Sheet45"/>
  <dimension ref="A1:M11"/>
  <sheetViews>
    <sheetView workbookViewId="0">
      <selection activeCell="F1" sqref="F1"/>
    </sheetView>
  </sheetViews>
  <sheetFormatPr defaultRowHeight="14.5" x14ac:dyDescent="0.35"/>
  <sheetData>
    <row r="1" spans="1:13" x14ac:dyDescent="0.35">
      <c r="A1" t="s">
        <v>211</v>
      </c>
      <c r="B1" t="s">
        <v>0</v>
      </c>
      <c r="C1" t="s">
        <v>203</v>
      </c>
      <c r="D1" t="s">
        <v>212</v>
      </c>
      <c r="E1" t="s">
        <v>209</v>
      </c>
      <c r="F1" t="s">
        <v>210</v>
      </c>
      <c r="G1" t="s">
        <v>10</v>
      </c>
      <c r="H1" t="s">
        <v>204</v>
      </c>
      <c r="I1" t="s">
        <v>213</v>
      </c>
      <c r="J1" t="s">
        <v>196</v>
      </c>
      <c r="K1" t="s">
        <v>178</v>
      </c>
      <c r="L1" t="s">
        <v>4</v>
      </c>
      <c r="M1" t="s">
        <v>5</v>
      </c>
    </row>
    <row r="2" spans="1:13" x14ac:dyDescent="0.35">
      <c r="A2" t="s">
        <v>150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M2" t="s">
        <v>190</v>
      </c>
    </row>
    <row r="3" spans="1:13" x14ac:dyDescent="0.35">
      <c r="A3" t="s">
        <v>151</v>
      </c>
      <c r="B3">
        <v>1</v>
      </c>
      <c r="C3">
        <v>1</v>
      </c>
      <c r="D3">
        <v>-1</v>
      </c>
      <c r="E3">
        <v>-1</v>
      </c>
      <c r="F3">
        <v>1</v>
      </c>
      <c r="G3">
        <v>1</v>
      </c>
      <c r="H3">
        <v>-1</v>
      </c>
      <c r="I3">
        <v>1</v>
      </c>
      <c r="J3">
        <v>1</v>
      </c>
      <c r="K3">
        <v>-1</v>
      </c>
    </row>
    <row r="4" spans="1:13" x14ac:dyDescent="0.35">
      <c r="A4" t="s">
        <v>110</v>
      </c>
      <c r="B4">
        <v>2</v>
      </c>
      <c r="C4">
        <v>-1</v>
      </c>
      <c r="D4">
        <v>0</v>
      </c>
      <c r="E4">
        <v>0</v>
      </c>
      <c r="F4">
        <v>2</v>
      </c>
      <c r="G4">
        <v>2</v>
      </c>
      <c r="H4">
        <v>0</v>
      </c>
      <c r="I4">
        <v>-1</v>
      </c>
      <c r="J4">
        <v>2</v>
      </c>
      <c r="K4">
        <v>0</v>
      </c>
      <c r="M4" t="s">
        <v>207</v>
      </c>
    </row>
    <row r="5" spans="1:13" x14ac:dyDescent="0.35">
      <c r="A5" t="s">
        <v>214</v>
      </c>
      <c r="B5">
        <v>3</v>
      </c>
      <c r="C5">
        <v>0</v>
      </c>
      <c r="D5">
        <v>-1</v>
      </c>
      <c r="E5">
        <v>1</v>
      </c>
      <c r="F5">
        <v>-1</v>
      </c>
      <c r="G5">
        <v>3</v>
      </c>
      <c r="H5">
        <v>1</v>
      </c>
      <c r="I5">
        <v>0</v>
      </c>
      <c r="J5">
        <v>-1</v>
      </c>
      <c r="K5">
        <v>-1</v>
      </c>
      <c r="L5" t="s">
        <v>200</v>
      </c>
    </row>
    <row r="6" spans="1:13" x14ac:dyDescent="0.35">
      <c r="A6" t="s">
        <v>215</v>
      </c>
      <c r="B6">
        <v>3</v>
      </c>
      <c r="C6">
        <v>0</v>
      </c>
      <c r="D6">
        <v>1</v>
      </c>
      <c r="E6">
        <v>-1</v>
      </c>
      <c r="F6">
        <v>-1</v>
      </c>
      <c r="G6">
        <v>3</v>
      </c>
      <c r="H6">
        <v>-1</v>
      </c>
      <c r="I6">
        <v>0</v>
      </c>
      <c r="J6">
        <v>-1</v>
      </c>
      <c r="K6">
        <v>1</v>
      </c>
      <c r="M6" t="s">
        <v>218</v>
      </c>
    </row>
    <row r="7" spans="1:13" x14ac:dyDescent="0.35">
      <c r="A7" t="s">
        <v>152</v>
      </c>
      <c r="B7">
        <v>1</v>
      </c>
      <c r="C7">
        <v>1</v>
      </c>
      <c r="D7">
        <v>1</v>
      </c>
      <c r="E7">
        <v>1</v>
      </c>
      <c r="F7">
        <v>1</v>
      </c>
      <c r="G7">
        <v>-1</v>
      </c>
      <c r="H7">
        <v>-1</v>
      </c>
      <c r="I7">
        <v>-1</v>
      </c>
      <c r="J7">
        <v>-1</v>
      </c>
      <c r="K7">
        <v>-1</v>
      </c>
    </row>
    <row r="8" spans="1:13" x14ac:dyDescent="0.35">
      <c r="A8" t="s">
        <v>153</v>
      </c>
      <c r="B8">
        <v>1</v>
      </c>
      <c r="C8">
        <v>1</v>
      </c>
      <c r="D8">
        <v>-1</v>
      </c>
      <c r="E8">
        <v>-1</v>
      </c>
      <c r="F8">
        <v>1</v>
      </c>
      <c r="G8">
        <v>-1</v>
      </c>
      <c r="H8">
        <v>1</v>
      </c>
      <c r="I8">
        <v>-1</v>
      </c>
      <c r="J8">
        <v>-1</v>
      </c>
      <c r="K8">
        <v>1</v>
      </c>
    </row>
    <row r="9" spans="1:13" x14ac:dyDescent="0.35">
      <c r="A9" t="s">
        <v>111</v>
      </c>
      <c r="B9">
        <v>2</v>
      </c>
      <c r="C9">
        <v>-1</v>
      </c>
      <c r="D9">
        <v>0</v>
      </c>
      <c r="E9">
        <v>0</v>
      </c>
      <c r="F9">
        <v>2</v>
      </c>
      <c r="G9">
        <v>-2</v>
      </c>
      <c r="H9">
        <v>0</v>
      </c>
      <c r="I9">
        <v>1</v>
      </c>
      <c r="J9">
        <v>-2</v>
      </c>
      <c r="K9">
        <v>0</v>
      </c>
    </row>
    <row r="10" spans="1:13" x14ac:dyDescent="0.35">
      <c r="A10" t="s">
        <v>216</v>
      </c>
      <c r="B10">
        <v>3</v>
      </c>
      <c r="C10">
        <v>0</v>
      </c>
      <c r="D10">
        <v>-1</v>
      </c>
      <c r="E10">
        <v>1</v>
      </c>
      <c r="F10">
        <v>-1</v>
      </c>
      <c r="G10">
        <v>-3</v>
      </c>
      <c r="H10">
        <v>-1</v>
      </c>
      <c r="I10">
        <v>0</v>
      </c>
      <c r="J10">
        <v>1</v>
      </c>
      <c r="K10">
        <v>1</v>
      </c>
      <c r="L10" t="s">
        <v>201</v>
      </c>
    </row>
    <row r="11" spans="1:13" x14ac:dyDescent="0.35">
      <c r="A11" t="s">
        <v>217</v>
      </c>
      <c r="B11">
        <v>3</v>
      </c>
      <c r="C11">
        <v>0</v>
      </c>
      <c r="D11">
        <v>1</v>
      </c>
      <c r="E11">
        <v>-1</v>
      </c>
      <c r="F11">
        <v>-1</v>
      </c>
      <c r="G11">
        <v>-3</v>
      </c>
      <c r="H11">
        <v>1</v>
      </c>
      <c r="I11">
        <v>0</v>
      </c>
      <c r="J11">
        <v>1</v>
      </c>
      <c r="K11">
        <v>-1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64FEF-A953-43C6-818B-425DD2871070}">
  <sheetPr codeName="Sheet46"/>
  <dimension ref="A1:H6"/>
  <sheetViews>
    <sheetView workbookViewId="0">
      <selection activeCell="E13" sqref="E13"/>
    </sheetView>
  </sheetViews>
  <sheetFormatPr defaultRowHeight="14.5" x14ac:dyDescent="0.35"/>
  <sheetData>
    <row r="1" spans="1:8" x14ac:dyDescent="0.35">
      <c r="B1" t="s">
        <v>0</v>
      </c>
      <c r="C1" t="s">
        <v>219</v>
      </c>
      <c r="D1" t="s">
        <v>224</v>
      </c>
      <c r="E1" t="s">
        <v>220</v>
      </c>
      <c r="F1" t="s">
        <v>221</v>
      </c>
      <c r="G1" t="s">
        <v>4</v>
      </c>
      <c r="H1" t="s">
        <v>5</v>
      </c>
    </row>
    <row r="2" spans="1:8" x14ac:dyDescent="0.35">
      <c r="A2" t="s">
        <v>1</v>
      </c>
      <c r="B2">
        <v>1</v>
      </c>
      <c r="C2">
        <v>1</v>
      </c>
      <c r="D2">
        <v>1</v>
      </c>
      <c r="E2">
        <v>1</v>
      </c>
      <c r="F2">
        <v>1</v>
      </c>
      <c r="H2" t="s">
        <v>190</v>
      </c>
    </row>
    <row r="3" spans="1:8" x14ac:dyDescent="0.35">
      <c r="A3" t="s">
        <v>205</v>
      </c>
      <c r="B3">
        <v>3</v>
      </c>
      <c r="C3" s="5">
        <f>-2*COS(4*PI()/5)</f>
        <v>1.6180339887498947</v>
      </c>
      <c r="D3" s="5">
        <f>-2*COS(2*PI()/5)</f>
        <v>-0.6180339887498949</v>
      </c>
      <c r="E3">
        <v>0</v>
      </c>
      <c r="F3">
        <v>-1</v>
      </c>
      <c r="G3" t="s">
        <v>193</v>
      </c>
    </row>
    <row r="4" spans="1:8" x14ac:dyDescent="0.35">
      <c r="A4" t="s">
        <v>206</v>
      </c>
      <c r="B4">
        <v>3</v>
      </c>
      <c r="C4" s="5">
        <f>-2*COS(2*PI()/5)</f>
        <v>-0.6180339887498949</v>
      </c>
      <c r="D4" s="5">
        <f>-2*COS(4*PI()/5)</f>
        <v>1.6180339887498947</v>
      </c>
      <c r="E4">
        <v>0</v>
      </c>
      <c r="F4">
        <v>-1</v>
      </c>
    </row>
    <row r="5" spans="1:8" x14ac:dyDescent="0.35">
      <c r="A5" t="s">
        <v>222</v>
      </c>
      <c r="B5">
        <v>4</v>
      </c>
      <c r="C5">
        <v>-1</v>
      </c>
      <c r="D5">
        <v>-1</v>
      </c>
      <c r="E5">
        <v>1</v>
      </c>
      <c r="F5">
        <v>0</v>
      </c>
    </row>
    <row r="6" spans="1:8" x14ac:dyDescent="0.35">
      <c r="A6" t="s">
        <v>223</v>
      </c>
      <c r="B6">
        <v>5</v>
      </c>
      <c r="C6">
        <v>0</v>
      </c>
      <c r="D6">
        <v>0</v>
      </c>
      <c r="E6">
        <v>-1</v>
      </c>
      <c r="F6">
        <v>1</v>
      </c>
      <c r="H6" t="s">
        <v>225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C21D-88B7-430D-B66A-83D5F4F6F8F5}">
  <sheetPr codeName="Sheet47"/>
  <dimension ref="A1:M11"/>
  <sheetViews>
    <sheetView workbookViewId="0">
      <selection activeCell="I10" sqref="I10"/>
    </sheetView>
  </sheetViews>
  <sheetFormatPr defaultRowHeight="14.5" x14ac:dyDescent="0.35"/>
  <sheetData>
    <row r="1" spans="1:13" x14ac:dyDescent="0.35">
      <c r="B1" t="s">
        <v>0</v>
      </c>
      <c r="C1" t="s">
        <v>219</v>
      </c>
      <c r="D1" t="s">
        <v>224</v>
      </c>
      <c r="E1" t="s">
        <v>220</v>
      </c>
      <c r="F1" t="s">
        <v>221</v>
      </c>
      <c r="G1" t="s">
        <v>10</v>
      </c>
      <c r="H1" t="s">
        <v>226</v>
      </c>
      <c r="I1" t="s">
        <v>232</v>
      </c>
      <c r="J1" t="s">
        <v>227</v>
      </c>
      <c r="K1">
        <v>15</v>
      </c>
      <c r="L1" t="s">
        <v>4</v>
      </c>
      <c r="M1" t="s">
        <v>5</v>
      </c>
    </row>
    <row r="2" spans="1:13" x14ac:dyDescent="0.35">
      <c r="A2" t="s">
        <v>11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M2" t="s">
        <v>190</v>
      </c>
    </row>
    <row r="3" spans="1:13" x14ac:dyDescent="0.35">
      <c r="A3" t="s">
        <v>214</v>
      </c>
      <c r="B3" s="5">
        <v>3</v>
      </c>
      <c r="C3" s="5">
        <f>-2*COS(4*PI()/5)</f>
        <v>1.6180339887498947</v>
      </c>
      <c r="D3" s="5">
        <f>-2*COS(2*PI()/5)</f>
        <v>-0.6180339887498949</v>
      </c>
      <c r="E3" s="5">
        <v>0</v>
      </c>
      <c r="F3" s="5">
        <v>-1</v>
      </c>
      <c r="G3" s="5">
        <v>3</v>
      </c>
      <c r="H3" s="5">
        <f>-2*COS(2*PI()/5)</f>
        <v>-0.6180339887498949</v>
      </c>
      <c r="I3" s="5">
        <f>-2*COS(4*PI()/5)</f>
        <v>1.6180339887498947</v>
      </c>
      <c r="J3" s="5">
        <v>0</v>
      </c>
      <c r="K3" s="5">
        <v>-1</v>
      </c>
      <c r="L3" t="s">
        <v>200</v>
      </c>
    </row>
    <row r="4" spans="1:13" x14ac:dyDescent="0.35">
      <c r="A4" t="s">
        <v>215</v>
      </c>
      <c r="B4" s="5">
        <v>3</v>
      </c>
      <c r="C4" s="5">
        <f>-2*COS(2*PI()/5)</f>
        <v>-0.6180339887498949</v>
      </c>
      <c r="D4" s="5">
        <f>-2*COS(4*PI()/5)</f>
        <v>1.6180339887498947</v>
      </c>
      <c r="E4" s="5">
        <v>0</v>
      </c>
      <c r="F4" s="5">
        <v>-1</v>
      </c>
      <c r="G4" s="5">
        <v>3</v>
      </c>
      <c r="H4" s="5">
        <f>-2*COS(4*PI()/5)</f>
        <v>1.6180339887498947</v>
      </c>
      <c r="I4" s="5">
        <f>-2*COS(2*PI()/5)</f>
        <v>-0.6180339887498949</v>
      </c>
      <c r="J4" s="5">
        <v>0</v>
      </c>
      <c r="K4" s="5">
        <v>-1</v>
      </c>
    </row>
    <row r="5" spans="1:13" x14ac:dyDescent="0.35">
      <c r="A5" t="s">
        <v>228</v>
      </c>
      <c r="B5" s="5">
        <v>4</v>
      </c>
      <c r="C5" s="5">
        <v>-1</v>
      </c>
      <c r="D5" s="5">
        <v>-1</v>
      </c>
      <c r="E5" s="5">
        <v>1</v>
      </c>
      <c r="F5" s="5">
        <v>0</v>
      </c>
      <c r="G5" s="5">
        <v>4</v>
      </c>
      <c r="H5" s="5">
        <v>-1</v>
      </c>
      <c r="I5" s="5">
        <v>-1</v>
      </c>
      <c r="J5" s="5">
        <v>1</v>
      </c>
      <c r="K5" s="5">
        <v>0</v>
      </c>
    </row>
    <row r="6" spans="1:13" x14ac:dyDescent="0.35">
      <c r="A6" t="s">
        <v>229</v>
      </c>
      <c r="B6" s="5">
        <v>5</v>
      </c>
      <c r="C6" s="5">
        <v>0</v>
      </c>
      <c r="D6" s="5">
        <v>0</v>
      </c>
      <c r="E6" s="5">
        <v>-1</v>
      </c>
      <c r="F6" s="5">
        <v>1</v>
      </c>
      <c r="G6" s="5">
        <v>5</v>
      </c>
      <c r="H6" s="5">
        <v>0</v>
      </c>
      <c r="I6" s="5">
        <v>0</v>
      </c>
      <c r="J6" s="5">
        <v>-1</v>
      </c>
      <c r="K6" s="5">
        <v>1</v>
      </c>
      <c r="M6" t="s">
        <v>225</v>
      </c>
    </row>
    <row r="7" spans="1:13" x14ac:dyDescent="0.35">
      <c r="A7" t="s">
        <v>12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-1</v>
      </c>
      <c r="H7" s="5">
        <v>-1</v>
      </c>
      <c r="I7" s="5">
        <v>-1</v>
      </c>
      <c r="J7" s="5">
        <v>-1</v>
      </c>
      <c r="K7" s="5">
        <v>-1</v>
      </c>
    </row>
    <row r="8" spans="1:13" x14ac:dyDescent="0.35">
      <c r="A8" t="s">
        <v>216</v>
      </c>
      <c r="B8" s="5">
        <v>3</v>
      </c>
      <c r="C8" s="5">
        <f>-2*COS(4*PI()/5)</f>
        <v>1.6180339887498947</v>
      </c>
      <c r="D8" s="5">
        <f>-2*COS(2*PI()/5)</f>
        <v>-0.6180339887498949</v>
      </c>
      <c r="E8" s="5">
        <v>0</v>
      </c>
      <c r="F8" s="5">
        <v>-1</v>
      </c>
      <c r="G8" s="5">
        <v>-3</v>
      </c>
      <c r="H8" s="5">
        <f>2*COS(2*PI()/5)</f>
        <v>0.6180339887498949</v>
      </c>
      <c r="I8" s="5">
        <f>2*COS(4*PI()/5)</f>
        <v>-1.6180339887498947</v>
      </c>
      <c r="J8" s="5">
        <v>0</v>
      </c>
      <c r="K8" s="5">
        <v>1</v>
      </c>
      <c r="L8" t="s">
        <v>201</v>
      </c>
    </row>
    <row r="9" spans="1:13" x14ac:dyDescent="0.35">
      <c r="A9" t="s">
        <v>217</v>
      </c>
      <c r="B9" s="5">
        <v>3</v>
      </c>
      <c r="C9" s="5">
        <f>-2*COS(2*PI()/5)</f>
        <v>-0.6180339887498949</v>
      </c>
      <c r="D9" s="5">
        <f>-2*COS(4*PI()/5)</f>
        <v>1.6180339887498947</v>
      </c>
      <c r="E9" s="5">
        <v>0</v>
      </c>
      <c r="F9" s="5">
        <v>-1</v>
      </c>
      <c r="G9" s="5">
        <v>-3</v>
      </c>
      <c r="H9" s="5">
        <f>2*COS(4*PI()/5)</f>
        <v>-1.6180339887498947</v>
      </c>
      <c r="I9" s="5">
        <f>2*COS(2*PI()/5)</f>
        <v>0.6180339887498949</v>
      </c>
      <c r="J9" s="5">
        <v>0</v>
      </c>
      <c r="K9" s="5">
        <v>1</v>
      </c>
    </row>
    <row r="10" spans="1:13" x14ac:dyDescent="0.35">
      <c r="A10" t="s">
        <v>230</v>
      </c>
      <c r="B10" s="5">
        <v>4</v>
      </c>
      <c r="C10" s="5">
        <v>-1</v>
      </c>
      <c r="D10" s="5">
        <v>-1</v>
      </c>
      <c r="E10" s="5">
        <v>1</v>
      </c>
      <c r="F10" s="5">
        <v>0</v>
      </c>
      <c r="G10" s="5">
        <v>-4</v>
      </c>
      <c r="H10" s="5">
        <v>1</v>
      </c>
      <c r="I10" s="5">
        <v>1</v>
      </c>
      <c r="J10" s="5">
        <v>-1</v>
      </c>
      <c r="K10" s="5">
        <v>0</v>
      </c>
    </row>
    <row r="11" spans="1:13" x14ac:dyDescent="0.35">
      <c r="A11" t="s">
        <v>231</v>
      </c>
      <c r="B11" s="5">
        <v>5</v>
      </c>
      <c r="C11" s="5">
        <v>0</v>
      </c>
      <c r="D11" s="5">
        <v>0</v>
      </c>
      <c r="E11" s="5">
        <v>-1</v>
      </c>
      <c r="F11" s="5">
        <v>1</v>
      </c>
      <c r="G11" s="5">
        <v>-5</v>
      </c>
      <c r="H11" s="5">
        <v>0</v>
      </c>
      <c r="I11" s="5">
        <v>0</v>
      </c>
      <c r="J11" s="5">
        <v>1</v>
      </c>
      <c r="K11" s="5">
        <v>-1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04CDA-16AA-48E8-BCBD-52662B8838E3}">
  <sheetPr codeName="Sheet48"/>
  <dimension ref="A1:G8"/>
  <sheetViews>
    <sheetView workbookViewId="0">
      <selection activeCell="F9" sqref="F9"/>
    </sheetView>
  </sheetViews>
  <sheetFormatPr defaultRowHeight="14.5" x14ac:dyDescent="0.35"/>
  <sheetData>
    <row r="1" spans="1:7" x14ac:dyDescent="0.35">
      <c r="A1" t="s">
        <v>233</v>
      </c>
      <c r="B1" t="s">
        <v>0</v>
      </c>
      <c r="C1" t="s">
        <v>234</v>
      </c>
      <c r="D1" t="s">
        <v>235</v>
      </c>
      <c r="E1" t="s">
        <v>236</v>
      </c>
      <c r="F1" t="s">
        <v>4</v>
      </c>
      <c r="G1" t="s">
        <v>5</v>
      </c>
    </row>
    <row r="2" spans="1:7" x14ac:dyDescent="0.35">
      <c r="A2" t="s">
        <v>237</v>
      </c>
      <c r="B2">
        <v>1</v>
      </c>
      <c r="C2">
        <v>1</v>
      </c>
      <c r="D2" t="s">
        <v>235</v>
      </c>
      <c r="E2">
        <v>1</v>
      </c>
      <c r="F2" t="s">
        <v>84</v>
      </c>
      <c r="G2" t="s">
        <v>22</v>
      </c>
    </row>
    <row r="3" spans="1:7" x14ac:dyDescent="0.35">
      <c r="A3" t="s">
        <v>238</v>
      </c>
      <c r="B3">
        <v>1</v>
      </c>
      <c r="C3">
        <v>1</v>
      </c>
      <c r="D3" t="s">
        <v>235</v>
      </c>
      <c r="E3">
        <v>-1</v>
      </c>
      <c r="F3" t="s">
        <v>85</v>
      </c>
    </row>
    <row r="4" spans="1:7" x14ac:dyDescent="0.35">
      <c r="A4" t="s">
        <v>239</v>
      </c>
      <c r="B4">
        <v>2</v>
      </c>
      <c r="C4" t="s">
        <v>240</v>
      </c>
      <c r="D4" t="s">
        <v>235</v>
      </c>
      <c r="E4">
        <v>0</v>
      </c>
      <c r="F4" t="s">
        <v>21</v>
      </c>
      <c r="G4" t="s">
        <v>37</v>
      </c>
    </row>
    <row r="5" spans="1:7" x14ac:dyDescent="0.35">
      <c r="A5" t="s">
        <v>241</v>
      </c>
      <c r="B5">
        <v>2</v>
      </c>
      <c r="C5" t="s">
        <v>242</v>
      </c>
      <c r="D5" t="s">
        <v>235</v>
      </c>
      <c r="E5">
        <v>0</v>
      </c>
      <c r="G5" t="s">
        <v>35</v>
      </c>
    </row>
    <row r="6" spans="1:7" x14ac:dyDescent="0.35">
      <c r="A6" t="s">
        <v>243</v>
      </c>
      <c r="B6">
        <v>2</v>
      </c>
      <c r="C6" t="s">
        <v>244</v>
      </c>
      <c r="D6" t="s">
        <v>235</v>
      </c>
      <c r="E6">
        <v>0</v>
      </c>
    </row>
    <row r="7" spans="1:7" x14ac:dyDescent="0.35">
      <c r="A7" t="s">
        <v>235</v>
      </c>
      <c r="B7" t="s">
        <v>235</v>
      </c>
      <c r="C7" t="s">
        <v>235</v>
      </c>
      <c r="D7" t="s">
        <v>235</v>
      </c>
      <c r="E7" t="s">
        <v>235</v>
      </c>
    </row>
    <row r="8" spans="1:7" x14ac:dyDescent="0.35">
      <c r="A8" t="s">
        <v>245</v>
      </c>
      <c r="B8">
        <v>2</v>
      </c>
      <c r="C8" t="s">
        <v>246</v>
      </c>
      <c r="D8" t="s">
        <v>235</v>
      </c>
      <c r="E8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DA77F-6D29-4EBA-8382-F0D1E554E82B}">
  <sheetPr codeName="Sheet49"/>
  <dimension ref="A1:K15"/>
  <sheetViews>
    <sheetView workbookViewId="0">
      <selection activeCell="B22" sqref="B22"/>
    </sheetView>
  </sheetViews>
  <sheetFormatPr defaultRowHeight="14.5" x14ac:dyDescent="0.35"/>
  <sheetData>
    <row r="1" spans="1:11" x14ac:dyDescent="0.35">
      <c r="A1" t="s">
        <v>247</v>
      </c>
      <c r="B1" t="s">
        <v>0</v>
      </c>
      <c r="C1" t="s">
        <v>234</v>
      </c>
      <c r="D1" t="s">
        <v>235</v>
      </c>
      <c r="E1" t="s">
        <v>248</v>
      </c>
      <c r="F1" t="s">
        <v>10</v>
      </c>
      <c r="G1" t="s">
        <v>249</v>
      </c>
      <c r="H1" t="s">
        <v>235</v>
      </c>
      <c r="I1" t="s">
        <v>250</v>
      </c>
      <c r="J1" t="s">
        <v>4</v>
      </c>
      <c r="K1" t="s">
        <v>5</v>
      </c>
    </row>
    <row r="2" spans="1:11" x14ac:dyDescent="0.35">
      <c r="A2" t="s">
        <v>251</v>
      </c>
      <c r="B2">
        <v>1</v>
      </c>
      <c r="C2">
        <v>1</v>
      </c>
      <c r="D2" t="s">
        <v>235</v>
      </c>
      <c r="E2">
        <v>1</v>
      </c>
      <c r="F2">
        <v>1</v>
      </c>
      <c r="G2">
        <v>1</v>
      </c>
      <c r="H2" t="s">
        <v>235</v>
      </c>
      <c r="I2">
        <v>1</v>
      </c>
      <c r="K2" t="s">
        <v>22</v>
      </c>
    </row>
    <row r="3" spans="1:11" x14ac:dyDescent="0.35">
      <c r="A3" t="s">
        <v>252</v>
      </c>
      <c r="B3">
        <v>1</v>
      </c>
      <c r="C3">
        <v>1</v>
      </c>
      <c r="D3" t="s">
        <v>235</v>
      </c>
      <c r="E3">
        <v>-1</v>
      </c>
      <c r="F3">
        <v>1</v>
      </c>
      <c r="G3">
        <v>1</v>
      </c>
      <c r="H3" t="s">
        <v>235</v>
      </c>
      <c r="I3">
        <v>-1</v>
      </c>
      <c r="J3" t="s">
        <v>85</v>
      </c>
    </row>
    <row r="4" spans="1:11" x14ac:dyDescent="0.35">
      <c r="A4" t="s">
        <v>253</v>
      </c>
      <c r="B4">
        <v>2</v>
      </c>
      <c r="C4" t="s">
        <v>240</v>
      </c>
      <c r="D4" t="s">
        <v>235</v>
      </c>
      <c r="E4">
        <v>0</v>
      </c>
      <c r="F4">
        <v>2</v>
      </c>
      <c r="G4" t="s">
        <v>254</v>
      </c>
      <c r="H4" t="s">
        <v>235</v>
      </c>
      <c r="I4">
        <v>0</v>
      </c>
      <c r="J4" t="s">
        <v>108</v>
      </c>
      <c r="K4" t="s">
        <v>37</v>
      </c>
    </row>
    <row r="5" spans="1:11" x14ac:dyDescent="0.35">
      <c r="A5" t="s">
        <v>255</v>
      </c>
      <c r="B5">
        <v>2</v>
      </c>
      <c r="C5" t="s">
        <v>242</v>
      </c>
      <c r="D5" t="s">
        <v>235</v>
      </c>
      <c r="E5">
        <v>0</v>
      </c>
      <c r="F5">
        <v>2</v>
      </c>
      <c r="G5" t="s">
        <v>242</v>
      </c>
      <c r="H5" t="s">
        <v>235</v>
      </c>
      <c r="I5">
        <v>0</v>
      </c>
      <c r="K5" t="s">
        <v>35</v>
      </c>
    </row>
    <row r="6" spans="1:11" x14ac:dyDescent="0.35">
      <c r="A6" t="s">
        <v>256</v>
      </c>
      <c r="B6">
        <v>2</v>
      </c>
      <c r="C6" t="s">
        <v>244</v>
      </c>
      <c r="D6" t="s">
        <v>235</v>
      </c>
      <c r="E6">
        <v>0</v>
      </c>
      <c r="F6">
        <v>2</v>
      </c>
      <c r="G6" t="s">
        <v>257</v>
      </c>
      <c r="H6" t="s">
        <v>235</v>
      </c>
      <c r="I6">
        <v>0</v>
      </c>
    </row>
    <row r="7" spans="1:11" x14ac:dyDescent="0.35">
      <c r="A7" t="s">
        <v>258</v>
      </c>
      <c r="B7">
        <v>2</v>
      </c>
      <c r="C7" t="s">
        <v>246</v>
      </c>
      <c r="D7" t="s">
        <v>235</v>
      </c>
      <c r="E7">
        <v>0</v>
      </c>
      <c r="F7">
        <v>2</v>
      </c>
      <c r="G7" t="s">
        <v>259</v>
      </c>
      <c r="H7" t="s">
        <v>235</v>
      </c>
      <c r="I7">
        <v>0</v>
      </c>
    </row>
    <row r="8" spans="1:11" x14ac:dyDescent="0.35">
      <c r="A8" t="s">
        <v>235</v>
      </c>
      <c r="B8" t="s">
        <v>235</v>
      </c>
      <c r="C8" t="s">
        <v>235</v>
      </c>
      <c r="D8" t="s">
        <v>235</v>
      </c>
      <c r="E8" t="s">
        <v>235</v>
      </c>
      <c r="F8" t="s">
        <v>235</v>
      </c>
      <c r="G8" t="s">
        <v>235</v>
      </c>
      <c r="H8" t="s">
        <v>235</v>
      </c>
      <c r="I8" t="s">
        <v>235</v>
      </c>
    </row>
    <row r="9" spans="1:11" x14ac:dyDescent="0.35">
      <c r="A9" t="s">
        <v>260</v>
      </c>
      <c r="B9">
        <v>1</v>
      </c>
      <c r="C9">
        <v>1</v>
      </c>
      <c r="D9" t="s">
        <v>235</v>
      </c>
      <c r="E9">
        <v>1</v>
      </c>
      <c r="F9">
        <v>-1</v>
      </c>
      <c r="G9">
        <v>-1</v>
      </c>
      <c r="H9" t="s">
        <v>235</v>
      </c>
      <c r="I9">
        <v>-1</v>
      </c>
      <c r="J9" t="s">
        <v>84</v>
      </c>
    </row>
    <row r="10" spans="1:11" x14ac:dyDescent="0.35">
      <c r="A10" t="s">
        <v>261</v>
      </c>
      <c r="B10">
        <v>1</v>
      </c>
      <c r="C10">
        <v>1</v>
      </c>
      <c r="D10" t="s">
        <v>235</v>
      </c>
      <c r="E10">
        <v>-1</v>
      </c>
      <c r="F10">
        <v>-1</v>
      </c>
      <c r="G10">
        <v>-1</v>
      </c>
      <c r="H10" t="s">
        <v>235</v>
      </c>
      <c r="I10">
        <v>1</v>
      </c>
    </row>
    <row r="11" spans="1:11" x14ac:dyDescent="0.35">
      <c r="A11" t="s">
        <v>262</v>
      </c>
      <c r="B11">
        <v>2</v>
      </c>
      <c r="C11" t="s">
        <v>240</v>
      </c>
      <c r="D11" t="s">
        <v>235</v>
      </c>
      <c r="E11">
        <v>0</v>
      </c>
      <c r="F11">
        <v>-2</v>
      </c>
      <c r="G11" t="s">
        <v>240</v>
      </c>
      <c r="H11" t="s">
        <v>235</v>
      </c>
      <c r="I11">
        <v>0</v>
      </c>
      <c r="J11" t="s">
        <v>107</v>
      </c>
    </row>
    <row r="12" spans="1:11" x14ac:dyDescent="0.35">
      <c r="A12" t="s">
        <v>263</v>
      </c>
      <c r="B12">
        <v>2</v>
      </c>
      <c r="C12" t="s">
        <v>242</v>
      </c>
      <c r="D12" t="s">
        <v>235</v>
      </c>
      <c r="E12">
        <v>0</v>
      </c>
      <c r="F12">
        <v>-2</v>
      </c>
      <c r="G12" t="s">
        <v>264</v>
      </c>
      <c r="H12" t="s">
        <v>235</v>
      </c>
      <c r="I12">
        <v>0</v>
      </c>
    </row>
    <row r="13" spans="1:11" x14ac:dyDescent="0.35">
      <c r="A13" t="s">
        <v>265</v>
      </c>
      <c r="B13">
        <v>2</v>
      </c>
      <c r="C13" t="s">
        <v>244</v>
      </c>
      <c r="D13" t="s">
        <v>235</v>
      </c>
      <c r="E13">
        <v>0</v>
      </c>
      <c r="F13">
        <v>-2</v>
      </c>
      <c r="G13" t="s">
        <v>266</v>
      </c>
      <c r="H13" t="s">
        <v>235</v>
      </c>
      <c r="I13">
        <v>0</v>
      </c>
    </row>
    <row r="14" spans="1:11" x14ac:dyDescent="0.35">
      <c r="A14" t="s">
        <v>267</v>
      </c>
      <c r="B14">
        <v>2</v>
      </c>
      <c r="C14" t="s">
        <v>246</v>
      </c>
      <c r="D14" t="s">
        <v>235</v>
      </c>
      <c r="E14">
        <v>0</v>
      </c>
      <c r="F14">
        <v>-2</v>
      </c>
      <c r="G14" t="s">
        <v>268</v>
      </c>
      <c r="H14" t="s">
        <v>235</v>
      </c>
      <c r="I14">
        <v>0</v>
      </c>
    </row>
    <row r="15" spans="1:11" x14ac:dyDescent="0.35">
      <c r="A15" t="s">
        <v>235</v>
      </c>
      <c r="B15" t="s">
        <v>235</v>
      </c>
      <c r="C15" t="s">
        <v>235</v>
      </c>
      <c r="D15" t="s">
        <v>235</v>
      </c>
      <c r="E15" t="s">
        <v>235</v>
      </c>
      <c r="F15" t="s">
        <v>235</v>
      </c>
      <c r="G15" t="s">
        <v>235</v>
      </c>
      <c r="H15" t="s">
        <v>235</v>
      </c>
      <c r="I15" t="s">
        <v>235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Formulas</vt:lpstr>
      <vt:lpstr>C1</vt:lpstr>
      <vt:lpstr>Cs</vt:lpstr>
      <vt:lpstr>Ci</vt:lpstr>
      <vt:lpstr>C2</vt:lpstr>
      <vt:lpstr>C3</vt:lpstr>
      <vt:lpstr>C4</vt:lpstr>
      <vt:lpstr>C5</vt:lpstr>
      <vt:lpstr>C6</vt:lpstr>
      <vt:lpstr>C7</vt:lpstr>
      <vt:lpstr>C8</vt:lpstr>
      <vt:lpstr>D2</vt:lpstr>
      <vt:lpstr>D3</vt:lpstr>
      <vt:lpstr>D4</vt:lpstr>
      <vt:lpstr>D5</vt:lpstr>
      <vt:lpstr>D6</vt:lpstr>
      <vt:lpstr>C2v</vt:lpstr>
      <vt:lpstr>C3v</vt:lpstr>
      <vt:lpstr>C4v</vt:lpstr>
      <vt:lpstr>C5v</vt:lpstr>
      <vt:lpstr>C6v</vt:lpstr>
      <vt:lpstr>C2h</vt:lpstr>
      <vt:lpstr>C3h</vt:lpstr>
      <vt:lpstr>C4h</vt:lpstr>
      <vt:lpstr>C5h</vt:lpstr>
      <vt:lpstr>C6h</vt:lpstr>
      <vt:lpstr>D2h</vt:lpstr>
      <vt:lpstr>D3h</vt:lpstr>
      <vt:lpstr>D4h</vt:lpstr>
      <vt:lpstr>D5h</vt:lpstr>
      <vt:lpstr>D6h</vt:lpstr>
      <vt:lpstr>D8h</vt:lpstr>
      <vt:lpstr>D2d</vt:lpstr>
      <vt:lpstr>D3d</vt:lpstr>
      <vt:lpstr>D4d</vt:lpstr>
      <vt:lpstr>D5d</vt:lpstr>
      <vt:lpstr>D6d</vt:lpstr>
      <vt:lpstr>S4</vt:lpstr>
      <vt:lpstr>S6</vt:lpstr>
      <vt:lpstr>S8</vt:lpstr>
      <vt:lpstr>T</vt:lpstr>
      <vt:lpstr>Th</vt:lpstr>
      <vt:lpstr>Td</vt:lpstr>
      <vt:lpstr>O</vt:lpstr>
      <vt:lpstr>Oh</vt:lpstr>
      <vt:lpstr>I</vt:lpstr>
      <vt:lpstr>Ih</vt:lpstr>
      <vt:lpstr>Cinfv</vt:lpstr>
      <vt:lpstr>Dinfh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Yee Cheung</dc:creator>
  <cp:lastModifiedBy>So Yee Cheung</cp:lastModifiedBy>
  <dcterms:created xsi:type="dcterms:W3CDTF">2020-11-29T05:23:26Z</dcterms:created>
  <dcterms:modified xsi:type="dcterms:W3CDTF">2020-12-10T09:20:10Z</dcterms:modified>
</cp:coreProperties>
</file>